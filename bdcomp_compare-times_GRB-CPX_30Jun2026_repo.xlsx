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ar\Desktop\EFrejinger\Analyse comparative Benders\travaux\scripts+resultats_set_2\gen_18_analyse-finale-GRB-CPX\"/>
    </mc:Choice>
  </mc:AlternateContent>
  <xr:revisionPtr revIDLastSave="0" documentId="13_ncr:1_{705E0782-C8B1-4DE4-9CE0-1D6AD09386B6}" xr6:coauthVersionLast="47" xr6:coauthVersionMax="47" xr10:uidLastSave="{00000000-0000-0000-0000-000000000000}"/>
  <bookViews>
    <workbookView xWindow="-108" yWindow="-108" windowWidth="23256" windowHeight="12456" xr2:uid="{280F6D2A-3E18-4357-9646-E3E916C946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173" i="1" l="1"/>
  <c r="AL173" i="1"/>
  <c r="AK173" i="1"/>
  <c r="AJ173" i="1"/>
  <c r="AI173" i="1"/>
  <c r="AH173" i="1"/>
  <c r="AM172" i="1"/>
  <c r="AL172" i="1"/>
  <c r="AK172" i="1"/>
  <c r="AJ172" i="1"/>
  <c r="AI172" i="1"/>
  <c r="AH172" i="1"/>
  <c r="AM171" i="1"/>
  <c r="AL171" i="1"/>
  <c r="AK171" i="1"/>
  <c r="AJ171" i="1"/>
  <c r="AI171" i="1"/>
  <c r="AH171" i="1"/>
  <c r="AM170" i="1"/>
  <c r="AL170" i="1"/>
  <c r="AK170" i="1"/>
  <c r="AJ170" i="1"/>
  <c r="AI170" i="1"/>
  <c r="AH170" i="1"/>
  <c r="AM169" i="1"/>
  <c r="AL169" i="1"/>
  <c r="AK169" i="1"/>
  <c r="AJ169" i="1"/>
  <c r="AI169" i="1"/>
  <c r="AH169" i="1"/>
  <c r="AM168" i="1"/>
  <c r="AL168" i="1"/>
  <c r="AK168" i="1"/>
  <c r="AJ168" i="1"/>
  <c r="AI168" i="1"/>
  <c r="AH168" i="1"/>
  <c r="AM167" i="1"/>
  <c r="AL167" i="1"/>
  <c r="AK167" i="1"/>
  <c r="AJ167" i="1"/>
  <c r="AI167" i="1"/>
  <c r="AH167" i="1"/>
  <c r="AM166" i="1"/>
  <c r="AL166" i="1"/>
  <c r="AK166" i="1"/>
  <c r="AJ166" i="1"/>
  <c r="AI166" i="1"/>
  <c r="AH166" i="1"/>
  <c r="AM165" i="1"/>
  <c r="AL165" i="1"/>
  <c r="AK165" i="1"/>
  <c r="AJ165" i="1"/>
  <c r="AI165" i="1"/>
  <c r="AH165" i="1"/>
  <c r="AM164" i="1"/>
  <c r="AL164" i="1"/>
  <c r="AK164" i="1"/>
  <c r="AJ164" i="1"/>
  <c r="AI164" i="1"/>
  <c r="AH164" i="1"/>
  <c r="AM163" i="1"/>
  <c r="AL163" i="1"/>
  <c r="AK163" i="1"/>
  <c r="AJ163" i="1"/>
  <c r="AI163" i="1"/>
  <c r="AH163" i="1"/>
  <c r="AM162" i="1"/>
  <c r="AL162" i="1"/>
  <c r="AK162" i="1"/>
  <c r="AJ162" i="1"/>
  <c r="AI162" i="1"/>
  <c r="AH162" i="1"/>
  <c r="AM161" i="1"/>
  <c r="AL161" i="1"/>
  <c r="AK161" i="1"/>
  <c r="AJ161" i="1"/>
  <c r="AI161" i="1"/>
  <c r="AH161" i="1"/>
  <c r="AM160" i="1"/>
  <c r="AL160" i="1"/>
  <c r="AK160" i="1"/>
  <c r="AJ160" i="1"/>
  <c r="AI160" i="1"/>
  <c r="AH160" i="1"/>
  <c r="AM159" i="1"/>
  <c r="AL159" i="1"/>
  <c r="AK159" i="1"/>
  <c r="AJ159" i="1"/>
  <c r="AI159" i="1"/>
  <c r="AH159" i="1"/>
  <c r="AM158" i="1"/>
  <c r="AL158" i="1"/>
  <c r="AK158" i="1"/>
  <c r="AJ158" i="1"/>
  <c r="AI158" i="1"/>
  <c r="AH158" i="1"/>
  <c r="AM157" i="1"/>
  <c r="AL157" i="1"/>
  <c r="AK157" i="1"/>
  <c r="AJ157" i="1"/>
  <c r="AI157" i="1"/>
  <c r="AH157" i="1"/>
  <c r="AM156" i="1"/>
  <c r="AL156" i="1"/>
  <c r="AK156" i="1"/>
  <c r="AJ156" i="1"/>
  <c r="AI156" i="1"/>
  <c r="AH156" i="1"/>
  <c r="AM155" i="1"/>
  <c r="AL155" i="1"/>
  <c r="AK155" i="1"/>
  <c r="AJ155" i="1"/>
  <c r="AI155" i="1"/>
  <c r="AH155" i="1"/>
  <c r="AM154" i="1"/>
  <c r="AL154" i="1"/>
  <c r="AK154" i="1"/>
  <c r="AJ154" i="1"/>
  <c r="AI154" i="1"/>
  <c r="AH154" i="1"/>
  <c r="AM153" i="1"/>
  <c r="AL153" i="1"/>
  <c r="AK153" i="1"/>
  <c r="AJ153" i="1"/>
  <c r="AI153" i="1"/>
  <c r="AH153" i="1"/>
  <c r="AM152" i="1"/>
  <c r="AL152" i="1"/>
  <c r="AK152" i="1"/>
  <c r="AJ152" i="1"/>
  <c r="AI152" i="1"/>
  <c r="AH152" i="1"/>
  <c r="AM151" i="1"/>
  <c r="AL151" i="1"/>
  <c r="AK151" i="1"/>
  <c r="AJ151" i="1"/>
  <c r="AI151" i="1"/>
  <c r="AH151" i="1"/>
  <c r="AM150" i="1"/>
  <c r="AL150" i="1"/>
  <c r="AK150" i="1"/>
  <c r="AJ150" i="1"/>
  <c r="AI150" i="1"/>
  <c r="AH150" i="1"/>
  <c r="AM149" i="1"/>
  <c r="AL149" i="1"/>
  <c r="AK149" i="1"/>
  <c r="AJ149" i="1"/>
  <c r="AI149" i="1"/>
  <c r="AH149" i="1"/>
  <c r="AM148" i="1"/>
  <c r="AL148" i="1"/>
  <c r="AK148" i="1"/>
  <c r="AJ148" i="1"/>
  <c r="AI148" i="1"/>
  <c r="AH148" i="1"/>
  <c r="AM147" i="1"/>
  <c r="AL147" i="1"/>
  <c r="AK147" i="1"/>
  <c r="AJ147" i="1"/>
  <c r="AI147" i="1"/>
  <c r="AH147" i="1"/>
  <c r="AM146" i="1"/>
  <c r="AL146" i="1"/>
  <c r="AK146" i="1"/>
  <c r="AJ146" i="1"/>
  <c r="AI146" i="1"/>
  <c r="AH146" i="1"/>
  <c r="AM145" i="1"/>
  <c r="AL145" i="1"/>
  <c r="AK145" i="1"/>
  <c r="AJ145" i="1"/>
  <c r="AI145" i="1"/>
  <c r="AH145" i="1"/>
  <c r="AM144" i="1"/>
  <c r="AL144" i="1"/>
  <c r="AK144" i="1"/>
  <c r="AJ144" i="1"/>
  <c r="AI144" i="1"/>
  <c r="AH144" i="1"/>
  <c r="AM143" i="1"/>
  <c r="AL143" i="1"/>
  <c r="AK143" i="1"/>
  <c r="AJ143" i="1"/>
  <c r="AI143" i="1"/>
  <c r="AH143" i="1"/>
  <c r="AM142" i="1"/>
  <c r="AL142" i="1"/>
  <c r="AK142" i="1"/>
  <c r="AJ142" i="1"/>
  <c r="AI142" i="1"/>
  <c r="AH142" i="1"/>
  <c r="AM141" i="1"/>
  <c r="AL141" i="1"/>
  <c r="AK141" i="1"/>
  <c r="AJ141" i="1"/>
  <c r="AI141" i="1"/>
  <c r="AH141" i="1"/>
  <c r="AM140" i="1"/>
  <c r="AL140" i="1"/>
  <c r="AK140" i="1"/>
  <c r="AJ140" i="1"/>
  <c r="AI140" i="1"/>
  <c r="AH140" i="1"/>
  <c r="AM139" i="1"/>
  <c r="AL139" i="1"/>
  <c r="AK139" i="1"/>
  <c r="AJ139" i="1"/>
  <c r="AI139" i="1"/>
  <c r="AH139" i="1"/>
  <c r="AM138" i="1"/>
  <c r="AL138" i="1"/>
  <c r="AK138" i="1"/>
  <c r="AJ138" i="1"/>
  <c r="AI138" i="1"/>
  <c r="AH138" i="1"/>
  <c r="AM137" i="1"/>
  <c r="AL137" i="1"/>
  <c r="AK137" i="1"/>
  <c r="AJ137" i="1"/>
  <c r="AI137" i="1"/>
  <c r="AH137" i="1"/>
  <c r="AM136" i="1"/>
  <c r="AL136" i="1"/>
  <c r="AK136" i="1"/>
  <c r="AJ136" i="1"/>
  <c r="AI136" i="1"/>
  <c r="AH136" i="1"/>
  <c r="AM135" i="1"/>
  <c r="AL135" i="1"/>
  <c r="AK135" i="1"/>
  <c r="AJ135" i="1"/>
  <c r="AI135" i="1"/>
  <c r="AH135" i="1"/>
  <c r="AM134" i="1"/>
  <c r="AL134" i="1"/>
  <c r="AK134" i="1"/>
  <c r="AJ134" i="1"/>
  <c r="AI134" i="1"/>
  <c r="AH134" i="1"/>
  <c r="AM133" i="1"/>
  <c r="AL133" i="1"/>
  <c r="AK133" i="1"/>
  <c r="AJ133" i="1"/>
  <c r="AI133" i="1"/>
  <c r="AH133" i="1"/>
  <c r="AM132" i="1"/>
  <c r="AL132" i="1"/>
  <c r="AK132" i="1"/>
  <c r="AJ132" i="1"/>
  <c r="AI132" i="1"/>
  <c r="AH132" i="1"/>
  <c r="AM131" i="1"/>
  <c r="AL131" i="1"/>
  <c r="AK131" i="1"/>
  <c r="AJ131" i="1"/>
  <c r="AI131" i="1"/>
  <c r="AH131" i="1"/>
  <c r="AM130" i="1"/>
  <c r="AL130" i="1"/>
  <c r="AK130" i="1"/>
  <c r="AJ130" i="1"/>
  <c r="AI130" i="1"/>
  <c r="AH130" i="1"/>
  <c r="AM129" i="1"/>
  <c r="AL129" i="1"/>
  <c r="AK129" i="1"/>
  <c r="AJ129" i="1"/>
  <c r="AI129" i="1"/>
  <c r="AH129" i="1"/>
  <c r="AM128" i="1"/>
  <c r="AL128" i="1"/>
  <c r="AK128" i="1"/>
  <c r="AJ128" i="1"/>
  <c r="AI128" i="1"/>
  <c r="AH128" i="1"/>
  <c r="AM127" i="1"/>
  <c r="AL127" i="1"/>
  <c r="AK127" i="1"/>
  <c r="AJ127" i="1"/>
  <c r="AI127" i="1"/>
  <c r="AH127" i="1"/>
  <c r="AM126" i="1"/>
  <c r="AL126" i="1"/>
  <c r="AK126" i="1"/>
  <c r="AJ126" i="1"/>
  <c r="AI126" i="1"/>
  <c r="AH126" i="1"/>
  <c r="AM125" i="1"/>
  <c r="AL125" i="1"/>
  <c r="AK125" i="1"/>
  <c r="AJ125" i="1"/>
  <c r="AI125" i="1"/>
  <c r="AH125" i="1"/>
  <c r="AM124" i="1"/>
  <c r="AL124" i="1"/>
  <c r="AK124" i="1"/>
  <c r="AJ124" i="1"/>
  <c r="AI124" i="1"/>
  <c r="AH124" i="1"/>
  <c r="AM123" i="1"/>
  <c r="AL123" i="1"/>
  <c r="AK123" i="1"/>
  <c r="AJ123" i="1"/>
  <c r="AI123" i="1"/>
  <c r="AH123" i="1"/>
  <c r="AM122" i="1"/>
  <c r="AL122" i="1"/>
  <c r="AK122" i="1"/>
  <c r="AJ122" i="1"/>
  <c r="AI122" i="1"/>
  <c r="AH122" i="1"/>
  <c r="AM121" i="1"/>
  <c r="AL121" i="1"/>
  <c r="AK121" i="1"/>
  <c r="AJ121" i="1"/>
  <c r="AI121" i="1"/>
  <c r="AH121" i="1"/>
  <c r="AM120" i="1"/>
  <c r="AL120" i="1"/>
  <c r="AK120" i="1"/>
  <c r="AJ120" i="1"/>
  <c r="AI120" i="1"/>
  <c r="AH120" i="1"/>
  <c r="AM119" i="1"/>
  <c r="AL119" i="1"/>
  <c r="AK119" i="1"/>
  <c r="AJ119" i="1"/>
  <c r="AI119" i="1"/>
  <c r="AH119" i="1"/>
  <c r="AM118" i="1"/>
  <c r="AL118" i="1"/>
  <c r="AK118" i="1"/>
  <c r="AJ118" i="1"/>
  <c r="AI118" i="1"/>
  <c r="AH118" i="1"/>
  <c r="AM117" i="1"/>
  <c r="AL117" i="1"/>
  <c r="AK117" i="1"/>
  <c r="AJ117" i="1"/>
  <c r="AI117" i="1"/>
  <c r="AH117" i="1"/>
  <c r="AM116" i="1"/>
  <c r="AL116" i="1"/>
  <c r="AK116" i="1"/>
  <c r="AJ116" i="1"/>
  <c r="AI116" i="1"/>
  <c r="AH116" i="1"/>
  <c r="AM115" i="1"/>
  <c r="AL115" i="1"/>
  <c r="AK115" i="1"/>
  <c r="AJ115" i="1"/>
  <c r="AI115" i="1"/>
  <c r="AH115" i="1"/>
  <c r="AM114" i="1"/>
  <c r="AL114" i="1"/>
  <c r="AK114" i="1"/>
  <c r="AJ114" i="1"/>
  <c r="AI114" i="1"/>
  <c r="AH114" i="1"/>
  <c r="AM113" i="1"/>
  <c r="AL113" i="1"/>
  <c r="AK113" i="1"/>
  <c r="AJ113" i="1"/>
  <c r="AI113" i="1"/>
  <c r="AH113" i="1"/>
  <c r="AM112" i="1"/>
  <c r="AL112" i="1"/>
  <c r="AK112" i="1"/>
  <c r="AJ112" i="1"/>
  <c r="AI112" i="1"/>
  <c r="AH112" i="1"/>
  <c r="AM111" i="1"/>
  <c r="AL111" i="1"/>
  <c r="AK111" i="1"/>
  <c r="AJ111" i="1"/>
  <c r="AI111" i="1"/>
  <c r="AH111" i="1"/>
  <c r="AM110" i="1"/>
  <c r="AL110" i="1"/>
  <c r="AK110" i="1"/>
  <c r="AJ110" i="1"/>
  <c r="AI110" i="1"/>
  <c r="AH110" i="1"/>
  <c r="AM109" i="1"/>
  <c r="AL109" i="1"/>
  <c r="AK109" i="1"/>
  <c r="AJ109" i="1"/>
  <c r="AI109" i="1"/>
  <c r="AH109" i="1"/>
  <c r="AM108" i="1"/>
  <c r="AL108" i="1"/>
  <c r="AK108" i="1"/>
  <c r="AJ108" i="1"/>
  <c r="AI108" i="1"/>
  <c r="AH108" i="1"/>
  <c r="AM107" i="1"/>
  <c r="AL107" i="1"/>
  <c r="AK107" i="1"/>
  <c r="AJ107" i="1"/>
  <c r="AI107" i="1"/>
  <c r="AH107" i="1"/>
  <c r="AM106" i="1"/>
  <c r="AL106" i="1"/>
  <c r="AK106" i="1"/>
  <c r="AJ106" i="1"/>
  <c r="AI106" i="1"/>
  <c r="AH106" i="1"/>
  <c r="AM105" i="1"/>
  <c r="AL105" i="1"/>
  <c r="AK105" i="1"/>
  <c r="AJ105" i="1"/>
  <c r="AI105" i="1"/>
  <c r="AH105" i="1"/>
  <c r="AM104" i="1"/>
  <c r="AL104" i="1"/>
  <c r="AK104" i="1"/>
  <c r="AJ104" i="1"/>
  <c r="AI104" i="1"/>
  <c r="AH104" i="1"/>
  <c r="AM103" i="1"/>
  <c r="AL103" i="1"/>
  <c r="AK103" i="1"/>
  <c r="AJ103" i="1"/>
  <c r="AI103" i="1"/>
  <c r="AH103" i="1"/>
  <c r="AM102" i="1"/>
  <c r="AL102" i="1"/>
  <c r="AK102" i="1"/>
  <c r="AJ102" i="1"/>
  <c r="AI102" i="1"/>
  <c r="AH102" i="1"/>
  <c r="AM101" i="1"/>
  <c r="AL101" i="1"/>
  <c r="AK101" i="1"/>
  <c r="AJ101" i="1"/>
  <c r="AI101" i="1"/>
  <c r="AH101" i="1"/>
  <c r="AM100" i="1"/>
  <c r="AL100" i="1"/>
  <c r="AK100" i="1"/>
  <c r="AJ100" i="1"/>
  <c r="AI100" i="1"/>
  <c r="AH100" i="1"/>
  <c r="AM99" i="1"/>
  <c r="AL99" i="1"/>
  <c r="AK99" i="1"/>
  <c r="AJ99" i="1"/>
  <c r="AI99" i="1"/>
  <c r="AH99" i="1"/>
  <c r="AM98" i="1"/>
  <c r="AL98" i="1"/>
  <c r="AK98" i="1"/>
  <c r="AJ98" i="1"/>
  <c r="AI98" i="1"/>
  <c r="AH98" i="1"/>
  <c r="AM97" i="1"/>
  <c r="AL97" i="1"/>
  <c r="AK97" i="1"/>
  <c r="AJ97" i="1"/>
  <c r="AI97" i="1"/>
  <c r="AH97" i="1"/>
  <c r="AM96" i="1"/>
  <c r="AL96" i="1"/>
  <c r="AK96" i="1"/>
  <c r="AJ96" i="1"/>
  <c r="AI96" i="1"/>
  <c r="AH96" i="1"/>
  <c r="AM95" i="1"/>
  <c r="AL95" i="1"/>
  <c r="AK95" i="1"/>
  <c r="AJ95" i="1"/>
  <c r="AI95" i="1"/>
  <c r="AH95" i="1"/>
  <c r="AM94" i="1"/>
  <c r="AL94" i="1"/>
  <c r="AK94" i="1"/>
  <c r="AJ94" i="1"/>
  <c r="AI94" i="1"/>
  <c r="AH94" i="1"/>
  <c r="AM93" i="1"/>
  <c r="AL93" i="1"/>
  <c r="AK93" i="1"/>
  <c r="AJ93" i="1"/>
  <c r="AI93" i="1"/>
  <c r="AH93" i="1"/>
  <c r="AM92" i="1"/>
  <c r="AL92" i="1"/>
  <c r="AK92" i="1"/>
  <c r="AJ92" i="1"/>
  <c r="AI92" i="1"/>
  <c r="AH92" i="1"/>
  <c r="AM91" i="1"/>
  <c r="AL91" i="1"/>
  <c r="AK91" i="1"/>
  <c r="AJ91" i="1"/>
  <c r="AI91" i="1"/>
  <c r="AH91" i="1"/>
  <c r="AM90" i="1"/>
  <c r="AL90" i="1"/>
  <c r="AK90" i="1"/>
  <c r="AJ90" i="1"/>
  <c r="AI90" i="1"/>
  <c r="AH90" i="1"/>
  <c r="AM89" i="1"/>
  <c r="AL89" i="1"/>
  <c r="AK89" i="1"/>
  <c r="AJ89" i="1"/>
  <c r="AI89" i="1"/>
  <c r="AH89" i="1"/>
  <c r="AM88" i="1"/>
  <c r="AL88" i="1"/>
  <c r="AK88" i="1"/>
  <c r="AJ88" i="1"/>
  <c r="AI88" i="1"/>
  <c r="AH88" i="1"/>
  <c r="AM87" i="1"/>
  <c r="AL87" i="1"/>
  <c r="AK87" i="1"/>
  <c r="AJ87" i="1"/>
  <c r="AI87" i="1"/>
  <c r="AH87" i="1"/>
  <c r="AM86" i="1"/>
  <c r="AL86" i="1"/>
  <c r="AK86" i="1"/>
  <c r="AJ86" i="1"/>
  <c r="AI86" i="1"/>
  <c r="AH86" i="1"/>
  <c r="AM85" i="1"/>
  <c r="AL85" i="1"/>
  <c r="AK85" i="1"/>
  <c r="AJ85" i="1"/>
  <c r="AI85" i="1"/>
  <c r="AH85" i="1"/>
  <c r="AM84" i="1"/>
  <c r="AL84" i="1"/>
  <c r="AK84" i="1"/>
  <c r="AJ84" i="1"/>
  <c r="AI84" i="1"/>
  <c r="AH84" i="1"/>
  <c r="AM83" i="1"/>
  <c r="AL83" i="1"/>
  <c r="AK83" i="1"/>
  <c r="AJ83" i="1"/>
  <c r="AI83" i="1"/>
  <c r="AH83" i="1"/>
  <c r="AM82" i="1"/>
  <c r="AL82" i="1"/>
  <c r="AK82" i="1"/>
  <c r="AJ82" i="1"/>
  <c r="AI82" i="1"/>
  <c r="AH82" i="1"/>
  <c r="AM81" i="1"/>
  <c r="AL81" i="1"/>
  <c r="AK81" i="1"/>
  <c r="AJ81" i="1"/>
  <c r="AI81" i="1"/>
  <c r="AH81" i="1"/>
  <c r="AM80" i="1"/>
  <c r="AL80" i="1"/>
  <c r="AK80" i="1"/>
  <c r="AJ80" i="1"/>
  <c r="AI80" i="1"/>
  <c r="AH80" i="1"/>
  <c r="AM79" i="1"/>
  <c r="AL79" i="1"/>
  <c r="AK79" i="1"/>
  <c r="AJ79" i="1"/>
  <c r="AI79" i="1"/>
  <c r="AH79" i="1"/>
  <c r="AM78" i="1"/>
  <c r="AL78" i="1"/>
  <c r="AK78" i="1"/>
  <c r="AJ78" i="1"/>
  <c r="AI78" i="1"/>
  <c r="AH78" i="1"/>
  <c r="AM77" i="1"/>
  <c r="AL77" i="1"/>
  <c r="AK77" i="1"/>
  <c r="AJ77" i="1"/>
  <c r="AI77" i="1"/>
  <c r="AH77" i="1"/>
  <c r="AM76" i="1"/>
  <c r="AL76" i="1"/>
  <c r="AK76" i="1"/>
  <c r="AJ76" i="1"/>
  <c r="AI76" i="1"/>
  <c r="AH76" i="1"/>
  <c r="AM75" i="1"/>
  <c r="AL75" i="1"/>
  <c r="AK75" i="1"/>
  <c r="AJ75" i="1"/>
  <c r="AI75" i="1"/>
  <c r="AH75" i="1"/>
  <c r="AM74" i="1"/>
  <c r="AL74" i="1"/>
  <c r="AK74" i="1"/>
  <c r="AJ74" i="1"/>
  <c r="AI74" i="1"/>
  <c r="AH74" i="1"/>
  <c r="AM73" i="1"/>
  <c r="AL73" i="1"/>
  <c r="AK73" i="1"/>
  <c r="AJ73" i="1"/>
  <c r="AI73" i="1"/>
  <c r="AH73" i="1"/>
  <c r="AM72" i="1"/>
  <c r="AL72" i="1"/>
  <c r="AK72" i="1"/>
  <c r="AJ72" i="1"/>
  <c r="AI72" i="1"/>
  <c r="AH72" i="1"/>
  <c r="AM71" i="1"/>
  <c r="AL71" i="1"/>
  <c r="AK71" i="1"/>
  <c r="AJ71" i="1"/>
  <c r="AI71" i="1"/>
  <c r="AH71" i="1"/>
  <c r="AM70" i="1"/>
  <c r="AL70" i="1"/>
  <c r="AK70" i="1"/>
  <c r="AJ70" i="1"/>
  <c r="AI70" i="1"/>
  <c r="AH70" i="1"/>
  <c r="AM69" i="1"/>
  <c r="AL69" i="1"/>
  <c r="AK69" i="1"/>
  <c r="AJ69" i="1"/>
  <c r="AI69" i="1"/>
  <c r="AH69" i="1"/>
  <c r="AM68" i="1"/>
  <c r="AL68" i="1"/>
  <c r="AK68" i="1"/>
  <c r="AJ68" i="1"/>
  <c r="AI68" i="1"/>
  <c r="AH68" i="1"/>
  <c r="AM67" i="1"/>
  <c r="AL67" i="1"/>
  <c r="AK67" i="1"/>
  <c r="AJ67" i="1"/>
  <c r="AI67" i="1"/>
  <c r="AH67" i="1"/>
  <c r="AM66" i="1"/>
  <c r="AL66" i="1"/>
  <c r="AK66" i="1"/>
  <c r="AJ66" i="1"/>
  <c r="AI66" i="1"/>
  <c r="AH66" i="1"/>
  <c r="AM65" i="1"/>
  <c r="AL65" i="1"/>
  <c r="AK65" i="1"/>
  <c r="AJ65" i="1"/>
  <c r="AI65" i="1"/>
  <c r="AH65" i="1"/>
  <c r="AM64" i="1"/>
  <c r="AL64" i="1"/>
  <c r="AK64" i="1"/>
  <c r="AJ64" i="1"/>
  <c r="AI64" i="1"/>
  <c r="AH64" i="1"/>
  <c r="AM63" i="1"/>
  <c r="AL63" i="1"/>
  <c r="AK63" i="1"/>
  <c r="AJ63" i="1"/>
  <c r="AI63" i="1"/>
  <c r="AH63" i="1"/>
  <c r="AM62" i="1"/>
  <c r="AL62" i="1"/>
  <c r="AK62" i="1"/>
  <c r="AJ62" i="1"/>
  <c r="AI62" i="1"/>
  <c r="AH62" i="1"/>
  <c r="AM61" i="1"/>
  <c r="AL61" i="1"/>
  <c r="AK61" i="1"/>
  <c r="AJ61" i="1"/>
  <c r="AI61" i="1"/>
  <c r="AH61" i="1"/>
  <c r="AM60" i="1"/>
  <c r="AL60" i="1"/>
  <c r="AK60" i="1"/>
  <c r="AJ60" i="1"/>
  <c r="AI60" i="1"/>
  <c r="AH60" i="1"/>
  <c r="AM59" i="1"/>
  <c r="AL59" i="1"/>
  <c r="AK59" i="1"/>
  <c r="AJ59" i="1"/>
  <c r="AI59" i="1"/>
  <c r="AH59" i="1"/>
  <c r="AM58" i="1"/>
  <c r="AL58" i="1"/>
  <c r="AK58" i="1"/>
  <c r="AJ58" i="1"/>
  <c r="AI58" i="1"/>
  <c r="AH58" i="1"/>
  <c r="AM57" i="1"/>
  <c r="AL57" i="1"/>
  <c r="AK57" i="1"/>
  <c r="AJ57" i="1"/>
  <c r="AI57" i="1"/>
  <c r="AH57" i="1"/>
  <c r="AM56" i="1"/>
  <c r="AL56" i="1"/>
  <c r="AK56" i="1"/>
  <c r="AJ56" i="1"/>
  <c r="AI56" i="1"/>
  <c r="AH56" i="1"/>
  <c r="AM55" i="1"/>
  <c r="AL55" i="1"/>
  <c r="AK55" i="1"/>
  <c r="AJ55" i="1"/>
  <c r="AI55" i="1"/>
  <c r="AH55" i="1"/>
  <c r="AM54" i="1"/>
  <c r="AL54" i="1"/>
  <c r="AK54" i="1"/>
  <c r="AJ54" i="1"/>
  <c r="AI54" i="1"/>
  <c r="AH54" i="1"/>
  <c r="AM53" i="1"/>
  <c r="AL53" i="1"/>
  <c r="AK53" i="1"/>
  <c r="AJ53" i="1"/>
  <c r="AI53" i="1"/>
  <c r="AH53" i="1"/>
  <c r="AM52" i="1"/>
  <c r="AL52" i="1"/>
  <c r="AK52" i="1"/>
  <c r="AJ52" i="1"/>
  <c r="AI52" i="1"/>
  <c r="AH52" i="1"/>
  <c r="AM51" i="1"/>
  <c r="AL51" i="1"/>
  <c r="AK51" i="1"/>
  <c r="AJ51" i="1"/>
  <c r="AI51" i="1"/>
  <c r="AH51" i="1"/>
  <c r="AM50" i="1"/>
  <c r="AL50" i="1"/>
  <c r="AK50" i="1"/>
  <c r="AJ50" i="1"/>
  <c r="AI50" i="1"/>
  <c r="AH50" i="1"/>
  <c r="AM49" i="1"/>
  <c r="AL49" i="1"/>
  <c r="AK49" i="1"/>
  <c r="AJ49" i="1"/>
  <c r="AI49" i="1"/>
  <c r="AH49" i="1"/>
  <c r="AM48" i="1"/>
  <c r="AL48" i="1"/>
  <c r="AK48" i="1"/>
  <c r="AJ48" i="1"/>
  <c r="AI48" i="1"/>
  <c r="AH48" i="1"/>
  <c r="AM47" i="1"/>
  <c r="AL47" i="1"/>
  <c r="AK47" i="1"/>
  <c r="AJ47" i="1"/>
  <c r="AI47" i="1"/>
  <c r="AH47" i="1"/>
  <c r="AM46" i="1"/>
  <c r="AL46" i="1"/>
  <c r="AK46" i="1"/>
  <c r="AJ46" i="1"/>
  <c r="AI46" i="1"/>
  <c r="AH46" i="1"/>
  <c r="AM45" i="1"/>
  <c r="AL45" i="1"/>
  <c r="AK45" i="1"/>
  <c r="AJ45" i="1"/>
  <c r="AI45" i="1"/>
  <c r="AH45" i="1"/>
  <c r="AM44" i="1"/>
  <c r="AL44" i="1"/>
  <c r="AK44" i="1"/>
  <c r="AJ44" i="1"/>
  <c r="AI44" i="1"/>
  <c r="AH44" i="1"/>
  <c r="AM43" i="1"/>
  <c r="AL43" i="1"/>
  <c r="AK43" i="1"/>
  <c r="AJ43" i="1"/>
  <c r="AI43" i="1"/>
  <c r="AH43" i="1"/>
  <c r="AM42" i="1"/>
  <c r="AL42" i="1"/>
  <c r="AK42" i="1"/>
  <c r="AJ42" i="1"/>
  <c r="AI42" i="1"/>
  <c r="AH42" i="1"/>
  <c r="AM41" i="1"/>
  <c r="AL41" i="1"/>
  <c r="AK41" i="1"/>
  <c r="AJ41" i="1"/>
  <c r="AI41" i="1"/>
  <c r="AH41" i="1"/>
  <c r="AM40" i="1"/>
  <c r="AL40" i="1"/>
  <c r="AK40" i="1"/>
  <c r="AJ40" i="1"/>
  <c r="AI40" i="1"/>
  <c r="AH40" i="1"/>
  <c r="AM39" i="1"/>
  <c r="AL39" i="1"/>
  <c r="AK39" i="1"/>
  <c r="AJ39" i="1"/>
  <c r="AI39" i="1"/>
  <c r="AH39" i="1"/>
  <c r="AM38" i="1"/>
  <c r="AL38" i="1"/>
  <c r="AK38" i="1"/>
  <c r="AJ38" i="1"/>
  <c r="AI38" i="1"/>
  <c r="AH38" i="1"/>
  <c r="AM37" i="1"/>
  <c r="AL37" i="1"/>
  <c r="AK37" i="1"/>
  <c r="AJ37" i="1"/>
  <c r="AI37" i="1"/>
  <c r="AH37" i="1"/>
  <c r="AM36" i="1"/>
  <c r="AL36" i="1"/>
  <c r="AK36" i="1"/>
  <c r="AJ36" i="1"/>
  <c r="AI36" i="1"/>
  <c r="AH36" i="1"/>
  <c r="AM35" i="1"/>
  <c r="AL35" i="1"/>
  <c r="AK35" i="1"/>
  <c r="AJ35" i="1"/>
  <c r="AI35" i="1"/>
  <c r="AH35" i="1"/>
  <c r="AM34" i="1"/>
  <c r="AL34" i="1"/>
  <c r="AK34" i="1"/>
  <c r="AJ34" i="1"/>
  <c r="AI34" i="1"/>
  <c r="AH34" i="1"/>
  <c r="AM33" i="1"/>
  <c r="AL33" i="1"/>
  <c r="AK33" i="1"/>
  <c r="AJ33" i="1"/>
  <c r="AI33" i="1"/>
  <c r="AH33" i="1"/>
  <c r="AM32" i="1"/>
  <c r="AL32" i="1"/>
  <c r="AK32" i="1"/>
  <c r="AJ32" i="1"/>
  <c r="AI32" i="1"/>
  <c r="AH32" i="1"/>
  <c r="AM31" i="1"/>
  <c r="AL31" i="1"/>
  <c r="AK31" i="1"/>
  <c r="AJ31" i="1"/>
  <c r="AI31" i="1"/>
  <c r="AH31" i="1"/>
  <c r="AM30" i="1"/>
  <c r="AL30" i="1"/>
  <c r="AK30" i="1"/>
  <c r="AJ30" i="1"/>
  <c r="AI30" i="1"/>
  <c r="AH30" i="1"/>
  <c r="AM29" i="1"/>
  <c r="AL29" i="1"/>
  <c r="AK29" i="1"/>
  <c r="AJ29" i="1"/>
  <c r="AI29" i="1"/>
  <c r="AH29" i="1"/>
  <c r="AM28" i="1"/>
  <c r="AL28" i="1"/>
  <c r="AK28" i="1"/>
  <c r="AJ28" i="1"/>
  <c r="AI28" i="1"/>
  <c r="AH28" i="1"/>
  <c r="AM27" i="1"/>
  <c r="AL27" i="1"/>
  <c r="AK27" i="1"/>
  <c r="AJ27" i="1"/>
  <c r="AI27" i="1"/>
  <c r="AH27" i="1"/>
  <c r="AM26" i="1"/>
  <c r="AL26" i="1"/>
  <c r="AK26" i="1"/>
  <c r="AJ26" i="1"/>
  <c r="AI26" i="1"/>
  <c r="AH26" i="1"/>
  <c r="AM25" i="1"/>
  <c r="AL25" i="1"/>
  <c r="AK25" i="1"/>
  <c r="AJ25" i="1"/>
  <c r="AI25" i="1"/>
  <c r="AH25" i="1"/>
  <c r="AM24" i="1"/>
  <c r="AL24" i="1"/>
  <c r="AK24" i="1"/>
  <c r="AJ24" i="1"/>
  <c r="AI24" i="1"/>
  <c r="AH24" i="1"/>
  <c r="AM23" i="1"/>
  <c r="AL23" i="1"/>
  <c r="AK23" i="1"/>
  <c r="AJ23" i="1"/>
  <c r="AI23" i="1"/>
  <c r="AH23" i="1"/>
  <c r="AM22" i="1"/>
  <c r="AL22" i="1"/>
  <c r="AK22" i="1"/>
  <c r="AJ22" i="1"/>
  <c r="AI22" i="1"/>
  <c r="AH22" i="1"/>
  <c r="AM21" i="1"/>
  <c r="AL21" i="1"/>
  <c r="AK21" i="1"/>
  <c r="AJ21" i="1"/>
  <c r="AI21" i="1"/>
  <c r="AH21" i="1"/>
  <c r="AM20" i="1"/>
  <c r="AL20" i="1"/>
  <c r="AK20" i="1"/>
  <c r="AJ20" i="1"/>
  <c r="AI20" i="1"/>
  <c r="AH20" i="1"/>
  <c r="AM19" i="1"/>
  <c r="AL19" i="1"/>
  <c r="AK19" i="1"/>
  <c r="AJ19" i="1"/>
  <c r="AI19" i="1"/>
  <c r="AH19" i="1"/>
  <c r="AM18" i="1"/>
  <c r="AL18" i="1"/>
  <c r="AK18" i="1"/>
  <c r="AJ18" i="1"/>
  <c r="AI18" i="1"/>
  <c r="AH18" i="1"/>
  <c r="AM17" i="1"/>
  <c r="AL17" i="1"/>
  <c r="AK17" i="1"/>
  <c r="AJ17" i="1"/>
  <c r="AI17" i="1"/>
  <c r="AH17" i="1"/>
  <c r="AM16" i="1"/>
  <c r="AL16" i="1"/>
  <c r="AK16" i="1"/>
  <c r="AJ16" i="1"/>
  <c r="AI16" i="1"/>
  <c r="AH16" i="1"/>
  <c r="AM15" i="1"/>
  <c r="AL15" i="1"/>
  <c r="AK15" i="1"/>
  <c r="AJ15" i="1"/>
  <c r="AI15" i="1"/>
  <c r="AH15" i="1"/>
  <c r="AM14" i="1"/>
  <c r="AL14" i="1"/>
  <c r="AK14" i="1"/>
  <c r="AJ14" i="1"/>
  <c r="AI14" i="1"/>
  <c r="AH14" i="1"/>
  <c r="AM13" i="1"/>
  <c r="AL13" i="1"/>
  <c r="AK13" i="1"/>
  <c r="AJ13" i="1"/>
  <c r="AI13" i="1"/>
  <c r="AH13" i="1"/>
  <c r="AM12" i="1"/>
  <c r="AL12" i="1"/>
  <c r="AK12" i="1"/>
  <c r="AJ12" i="1"/>
  <c r="AI12" i="1"/>
  <c r="AH12" i="1"/>
  <c r="T173" i="1"/>
  <c r="S173" i="1"/>
  <c r="R173" i="1"/>
  <c r="Q173" i="1"/>
  <c r="P173" i="1"/>
  <c r="O173" i="1"/>
  <c r="T172" i="1"/>
  <c r="S172" i="1"/>
  <c r="R172" i="1"/>
  <c r="Q172" i="1"/>
  <c r="P172" i="1"/>
  <c r="O172" i="1"/>
  <c r="T171" i="1"/>
  <c r="S171" i="1"/>
  <c r="R171" i="1"/>
  <c r="Q171" i="1"/>
  <c r="P171" i="1"/>
  <c r="O171" i="1"/>
  <c r="T170" i="1"/>
  <c r="S170" i="1"/>
  <c r="R170" i="1"/>
  <c r="Q170" i="1"/>
  <c r="P170" i="1"/>
  <c r="O170" i="1"/>
  <c r="T169" i="1"/>
  <c r="S169" i="1"/>
  <c r="R169" i="1"/>
  <c r="Q169" i="1"/>
  <c r="P169" i="1"/>
  <c r="O169" i="1"/>
  <c r="T168" i="1"/>
  <c r="S168" i="1"/>
  <c r="R168" i="1"/>
  <c r="Q168" i="1"/>
  <c r="P168" i="1"/>
  <c r="O168" i="1"/>
  <c r="T167" i="1"/>
  <c r="S167" i="1"/>
  <c r="R167" i="1"/>
  <c r="Q167" i="1"/>
  <c r="P167" i="1"/>
  <c r="O167" i="1"/>
  <c r="T166" i="1"/>
  <c r="S166" i="1"/>
  <c r="R166" i="1"/>
  <c r="Q166" i="1"/>
  <c r="P166" i="1"/>
  <c r="O166" i="1"/>
  <c r="T165" i="1"/>
  <c r="S165" i="1"/>
  <c r="R165" i="1"/>
  <c r="Q165" i="1"/>
  <c r="P165" i="1"/>
  <c r="O165" i="1"/>
  <c r="T164" i="1"/>
  <c r="S164" i="1"/>
  <c r="R164" i="1"/>
  <c r="Q164" i="1"/>
  <c r="P164" i="1"/>
  <c r="O164" i="1"/>
  <c r="T163" i="1"/>
  <c r="S163" i="1"/>
  <c r="R163" i="1"/>
  <c r="Q163" i="1"/>
  <c r="P163" i="1"/>
  <c r="O163" i="1"/>
  <c r="T162" i="1"/>
  <c r="S162" i="1"/>
  <c r="R162" i="1"/>
  <c r="Q162" i="1"/>
  <c r="P162" i="1"/>
  <c r="O162" i="1"/>
  <c r="T161" i="1"/>
  <c r="S161" i="1"/>
  <c r="R161" i="1"/>
  <c r="Q161" i="1"/>
  <c r="P161" i="1"/>
  <c r="O161" i="1"/>
  <c r="T160" i="1"/>
  <c r="S160" i="1"/>
  <c r="R160" i="1"/>
  <c r="Q160" i="1"/>
  <c r="P160" i="1"/>
  <c r="O160" i="1"/>
  <c r="T159" i="1"/>
  <c r="S159" i="1"/>
  <c r="R159" i="1"/>
  <c r="Q159" i="1"/>
  <c r="P159" i="1"/>
  <c r="O159" i="1"/>
  <c r="T158" i="1"/>
  <c r="S158" i="1"/>
  <c r="R158" i="1"/>
  <c r="Q158" i="1"/>
  <c r="P158" i="1"/>
  <c r="O158" i="1"/>
  <c r="T157" i="1"/>
  <c r="S157" i="1"/>
  <c r="R157" i="1"/>
  <c r="Q157" i="1"/>
  <c r="P157" i="1"/>
  <c r="O157" i="1"/>
  <c r="T156" i="1"/>
  <c r="S156" i="1"/>
  <c r="R156" i="1"/>
  <c r="Q156" i="1"/>
  <c r="P156" i="1"/>
  <c r="O156" i="1"/>
  <c r="T155" i="1"/>
  <c r="S155" i="1"/>
  <c r="R155" i="1"/>
  <c r="Q155" i="1"/>
  <c r="P155" i="1"/>
  <c r="O155" i="1"/>
  <c r="T154" i="1"/>
  <c r="S154" i="1"/>
  <c r="R154" i="1"/>
  <c r="Q154" i="1"/>
  <c r="P154" i="1"/>
  <c r="O154" i="1"/>
  <c r="T153" i="1"/>
  <c r="S153" i="1"/>
  <c r="R153" i="1"/>
  <c r="Q153" i="1"/>
  <c r="P153" i="1"/>
  <c r="O153" i="1"/>
  <c r="T152" i="1"/>
  <c r="S152" i="1"/>
  <c r="R152" i="1"/>
  <c r="Q152" i="1"/>
  <c r="P152" i="1"/>
  <c r="O152" i="1"/>
  <c r="T151" i="1"/>
  <c r="S151" i="1"/>
  <c r="R151" i="1"/>
  <c r="Q151" i="1"/>
  <c r="P151" i="1"/>
  <c r="O151" i="1"/>
  <c r="T150" i="1"/>
  <c r="S150" i="1"/>
  <c r="R150" i="1"/>
  <c r="Q150" i="1"/>
  <c r="P150" i="1"/>
  <c r="O150" i="1"/>
  <c r="T149" i="1"/>
  <c r="S149" i="1"/>
  <c r="R149" i="1"/>
  <c r="Q149" i="1"/>
  <c r="P149" i="1"/>
  <c r="O149" i="1"/>
  <c r="T148" i="1"/>
  <c r="S148" i="1"/>
  <c r="R148" i="1"/>
  <c r="Q148" i="1"/>
  <c r="P148" i="1"/>
  <c r="O148" i="1"/>
  <c r="T147" i="1"/>
  <c r="S147" i="1"/>
  <c r="R147" i="1"/>
  <c r="Q147" i="1"/>
  <c r="P147" i="1"/>
  <c r="O147" i="1"/>
  <c r="T146" i="1"/>
  <c r="S146" i="1"/>
  <c r="R146" i="1"/>
  <c r="Q146" i="1"/>
  <c r="P146" i="1"/>
  <c r="O146" i="1"/>
  <c r="T145" i="1"/>
  <c r="S145" i="1"/>
  <c r="R145" i="1"/>
  <c r="Q145" i="1"/>
  <c r="P145" i="1"/>
  <c r="O145" i="1"/>
  <c r="T144" i="1"/>
  <c r="S144" i="1"/>
  <c r="R144" i="1"/>
  <c r="Q144" i="1"/>
  <c r="AW144" i="1" s="1"/>
  <c r="P144" i="1"/>
  <c r="O144" i="1"/>
  <c r="T143" i="1"/>
  <c r="S143" i="1"/>
  <c r="R143" i="1"/>
  <c r="Q143" i="1"/>
  <c r="P143" i="1"/>
  <c r="O143" i="1"/>
  <c r="T142" i="1"/>
  <c r="S142" i="1"/>
  <c r="R142" i="1"/>
  <c r="Q142" i="1"/>
  <c r="P142" i="1"/>
  <c r="O142" i="1"/>
  <c r="T141" i="1"/>
  <c r="S141" i="1"/>
  <c r="R141" i="1"/>
  <c r="Q141" i="1"/>
  <c r="P141" i="1"/>
  <c r="O141" i="1"/>
  <c r="T140" i="1"/>
  <c r="S140" i="1"/>
  <c r="R140" i="1"/>
  <c r="Q140" i="1"/>
  <c r="P140" i="1"/>
  <c r="O140" i="1"/>
  <c r="T139" i="1"/>
  <c r="S139" i="1"/>
  <c r="R139" i="1"/>
  <c r="Q139" i="1"/>
  <c r="P139" i="1"/>
  <c r="O139" i="1"/>
  <c r="T138" i="1"/>
  <c r="S138" i="1"/>
  <c r="R138" i="1"/>
  <c r="Q138" i="1"/>
  <c r="P138" i="1"/>
  <c r="O138" i="1"/>
  <c r="T137" i="1"/>
  <c r="S137" i="1"/>
  <c r="R137" i="1"/>
  <c r="Q137" i="1"/>
  <c r="P137" i="1"/>
  <c r="O137" i="1"/>
  <c r="T136" i="1"/>
  <c r="S136" i="1"/>
  <c r="R136" i="1"/>
  <c r="Q136" i="1"/>
  <c r="P136" i="1"/>
  <c r="O136" i="1"/>
  <c r="T135" i="1"/>
  <c r="S135" i="1"/>
  <c r="R135" i="1"/>
  <c r="Q135" i="1"/>
  <c r="P135" i="1"/>
  <c r="O135" i="1"/>
  <c r="T134" i="1"/>
  <c r="S134" i="1"/>
  <c r="R134" i="1"/>
  <c r="Q134" i="1"/>
  <c r="P134" i="1"/>
  <c r="O134" i="1"/>
  <c r="T133" i="1"/>
  <c r="S133" i="1"/>
  <c r="R133" i="1"/>
  <c r="Q133" i="1"/>
  <c r="P133" i="1"/>
  <c r="O133" i="1"/>
  <c r="T132" i="1"/>
  <c r="S132" i="1"/>
  <c r="R132" i="1"/>
  <c r="Q132" i="1"/>
  <c r="P132" i="1"/>
  <c r="O132" i="1"/>
  <c r="T131" i="1"/>
  <c r="S131" i="1"/>
  <c r="R131" i="1"/>
  <c r="Q131" i="1"/>
  <c r="P131" i="1"/>
  <c r="O131" i="1"/>
  <c r="T130" i="1"/>
  <c r="S130" i="1"/>
  <c r="R130" i="1"/>
  <c r="Q130" i="1"/>
  <c r="P130" i="1"/>
  <c r="O130" i="1"/>
  <c r="T129" i="1"/>
  <c r="S129" i="1"/>
  <c r="R129" i="1"/>
  <c r="Q129" i="1"/>
  <c r="P129" i="1"/>
  <c r="O129" i="1"/>
  <c r="T128" i="1"/>
  <c r="S128" i="1"/>
  <c r="R128" i="1"/>
  <c r="Q128" i="1"/>
  <c r="P128" i="1"/>
  <c r="O128" i="1"/>
  <c r="T127" i="1"/>
  <c r="S127" i="1"/>
  <c r="R127" i="1"/>
  <c r="Q127" i="1"/>
  <c r="P127" i="1"/>
  <c r="O127" i="1"/>
  <c r="T126" i="1"/>
  <c r="S126" i="1"/>
  <c r="R126" i="1"/>
  <c r="Q126" i="1"/>
  <c r="P126" i="1"/>
  <c r="O126" i="1"/>
  <c r="AU126" i="1" s="1"/>
  <c r="T125" i="1"/>
  <c r="AZ125" i="1" s="1"/>
  <c r="S125" i="1"/>
  <c r="R125" i="1"/>
  <c r="Q125" i="1"/>
  <c r="P125" i="1"/>
  <c r="O125" i="1"/>
  <c r="T124" i="1"/>
  <c r="S124" i="1"/>
  <c r="R124" i="1"/>
  <c r="Q124" i="1"/>
  <c r="P124" i="1"/>
  <c r="O124" i="1"/>
  <c r="T123" i="1"/>
  <c r="S123" i="1"/>
  <c r="R123" i="1"/>
  <c r="Q123" i="1"/>
  <c r="P123" i="1"/>
  <c r="O123" i="1"/>
  <c r="T122" i="1"/>
  <c r="S122" i="1"/>
  <c r="R122" i="1"/>
  <c r="Q122" i="1"/>
  <c r="P122" i="1"/>
  <c r="O122" i="1"/>
  <c r="T121" i="1"/>
  <c r="S121" i="1"/>
  <c r="R121" i="1"/>
  <c r="Q121" i="1"/>
  <c r="P121" i="1"/>
  <c r="O121" i="1"/>
  <c r="T120" i="1"/>
  <c r="S120" i="1"/>
  <c r="R120" i="1"/>
  <c r="Q120" i="1"/>
  <c r="P120" i="1"/>
  <c r="O120" i="1"/>
  <c r="T119" i="1"/>
  <c r="S119" i="1"/>
  <c r="R119" i="1"/>
  <c r="Q119" i="1"/>
  <c r="P119" i="1"/>
  <c r="O119" i="1"/>
  <c r="T118" i="1"/>
  <c r="S118" i="1"/>
  <c r="R118" i="1"/>
  <c r="Q118" i="1"/>
  <c r="P118" i="1"/>
  <c r="O118" i="1"/>
  <c r="T117" i="1"/>
  <c r="S117" i="1"/>
  <c r="R117" i="1"/>
  <c r="Q117" i="1"/>
  <c r="P117" i="1"/>
  <c r="O117" i="1"/>
  <c r="T116" i="1"/>
  <c r="S116" i="1"/>
  <c r="R116" i="1"/>
  <c r="Q116" i="1"/>
  <c r="P116" i="1"/>
  <c r="O116" i="1"/>
  <c r="T115" i="1"/>
  <c r="S115" i="1"/>
  <c r="R115" i="1"/>
  <c r="Q115" i="1"/>
  <c r="P115" i="1"/>
  <c r="O115" i="1"/>
  <c r="T114" i="1"/>
  <c r="S114" i="1"/>
  <c r="R114" i="1"/>
  <c r="Q114" i="1"/>
  <c r="P114" i="1"/>
  <c r="O114" i="1"/>
  <c r="T113" i="1"/>
  <c r="S113" i="1"/>
  <c r="R113" i="1"/>
  <c r="Q113" i="1"/>
  <c r="P113" i="1"/>
  <c r="O113" i="1"/>
  <c r="T112" i="1"/>
  <c r="S112" i="1"/>
  <c r="R112" i="1"/>
  <c r="Q112" i="1"/>
  <c r="P112" i="1"/>
  <c r="O112" i="1"/>
  <c r="T111" i="1"/>
  <c r="S111" i="1"/>
  <c r="R111" i="1"/>
  <c r="Q111" i="1"/>
  <c r="P111" i="1"/>
  <c r="O111" i="1"/>
  <c r="T110" i="1"/>
  <c r="S110" i="1"/>
  <c r="R110" i="1"/>
  <c r="Q110" i="1"/>
  <c r="P110" i="1"/>
  <c r="O110" i="1"/>
  <c r="T109" i="1"/>
  <c r="S109" i="1"/>
  <c r="R109" i="1"/>
  <c r="Q109" i="1"/>
  <c r="P109" i="1"/>
  <c r="O109" i="1"/>
  <c r="T108" i="1"/>
  <c r="S108" i="1"/>
  <c r="R108" i="1"/>
  <c r="Q108" i="1"/>
  <c r="P108" i="1"/>
  <c r="O108" i="1"/>
  <c r="T107" i="1"/>
  <c r="S107" i="1"/>
  <c r="R107" i="1"/>
  <c r="Q107" i="1"/>
  <c r="P107" i="1"/>
  <c r="O107" i="1"/>
  <c r="T106" i="1"/>
  <c r="S106" i="1"/>
  <c r="R106" i="1"/>
  <c r="Q106" i="1"/>
  <c r="P106" i="1"/>
  <c r="O106" i="1"/>
  <c r="T105" i="1"/>
  <c r="S105" i="1"/>
  <c r="R105" i="1"/>
  <c r="Q105" i="1"/>
  <c r="P105" i="1"/>
  <c r="O105" i="1"/>
  <c r="T104" i="1"/>
  <c r="S104" i="1"/>
  <c r="R104" i="1"/>
  <c r="Q104" i="1"/>
  <c r="P104" i="1"/>
  <c r="O104" i="1"/>
  <c r="T103" i="1"/>
  <c r="S103" i="1"/>
  <c r="R103" i="1"/>
  <c r="Q103" i="1"/>
  <c r="P103" i="1"/>
  <c r="O103" i="1"/>
  <c r="T102" i="1"/>
  <c r="S102" i="1"/>
  <c r="R102" i="1"/>
  <c r="Q102" i="1"/>
  <c r="P102" i="1"/>
  <c r="O102" i="1"/>
  <c r="T101" i="1"/>
  <c r="S101" i="1"/>
  <c r="R101" i="1"/>
  <c r="Q101" i="1"/>
  <c r="P101" i="1"/>
  <c r="O101" i="1"/>
  <c r="T100" i="1"/>
  <c r="S100" i="1"/>
  <c r="R100" i="1"/>
  <c r="Q100" i="1"/>
  <c r="P100" i="1"/>
  <c r="O100" i="1"/>
  <c r="T99" i="1"/>
  <c r="S99" i="1"/>
  <c r="R99" i="1"/>
  <c r="Q99" i="1"/>
  <c r="P99" i="1"/>
  <c r="O99" i="1"/>
  <c r="T98" i="1"/>
  <c r="S98" i="1"/>
  <c r="R98" i="1"/>
  <c r="Q98" i="1"/>
  <c r="P98" i="1"/>
  <c r="O98" i="1"/>
  <c r="T97" i="1"/>
  <c r="S97" i="1"/>
  <c r="R97" i="1"/>
  <c r="Q97" i="1"/>
  <c r="P97" i="1"/>
  <c r="O97" i="1"/>
  <c r="T96" i="1"/>
  <c r="S96" i="1"/>
  <c r="R96" i="1"/>
  <c r="Q96" i="1"/>
  <c r="P96" i="1"/>
  <c r="O96" i="1"/>
  <c r="T95" i="1"/>
  <c r="S95" i="1"/>
  <c r="R95" i="1"/>
  <c r="Q95" i="1"/>
  <c r="P95" i="1"/>
  <c r="O95" i="1"/>
  <c r="T94" i="1"/>
  <c r="S94" i="1"/>
  <c r="R94" i="1"/>
  <c r="Q94" i="1"/>
  <c r="P94" i="1"/>
  <c r="O94" i="1"/>
  <c r="T93" i="1"/>
  <c r="S93" i="1"/>
  <c r="R93" i="1"/>
  <c r="Q93" i="1"/>
  <c r="P93" i="1"/>
  <c r="O93" i="1"/>
  <c r="T92" i="1"/>
  <c r="S92" i="1"/>
  <c r="R92" i="1"/>
  <c r="Q92" i="1"/>
  <c r="P92" i="1"/>
  <c r="O92" i="1"/>
  <c r="T91" i="1"/>
  <c r="S91" i="1"/>
  <c r="R91" i="1"/>
  <c r="Q91" i="1"/>
  <c r="P91" i="1"/>
  <c r="O91" i="1"/>
  <c r="T90" i="1"/>
  <c r="S90" i="1"/>
  <c r="R90" i="1"/>
  <c r="Q90" i="1"/>
  <c r="P90" i="1"/>
  <c r="O90" i="1"/>
  <c r="T89" i="1"/>
  <c r="S89" i="1"/>
  <c r="R89" i="1"/>
  <c r="Q89" i="1"/>
  <c r="P89" i="1"/>
  <c r="O89" i="1"/>
  <c r="T88" i="1"/>
  <c r="S88" i="1"/>
  <c r="R88" i="1"/>
  <c r="Q88" i="1"/>
  <c r="P88" i="1"/>
  <c r="O88" i="1"/>
  <c r="T87" i="1"/>
  <c r="S87" i="1"/>
  <c r="R87" i="1"/>
  <c r="Q87" i="1"/>
  <c r="P87" i="1"/>
  <c r="O87" i="1"/>
  <c r="T86" i="1"/>
  <c r="S86" i="1"/>
  <c r="R86" i="1"/>
  <c r="Q86" i="1"/>
  <c r="P86" i="1"/>
  <c r="O86" i="1"/>
  <c r="T85" i="1"/>
  <c r="S85" i="1"/>
  <c r="R85" i="1"/>
  <c r="Q85" i="1"/>
  <c r="P85" i="1"/>
  <c r="O85" i="1"/>
  <c r="T84" i="1"/>
  <c r="S84" i="1"/>
  <c r="R84" i="1"/>
  <c r="Q84" i="1"/>
  <c r="P84" i="1"/>
  <c r="O84" i="1"/>
  <c r="T83" i="1"/>
  <c r="S83" i="1"/>
  <c r="R83" i="1"/>
  <c r="Q83" i="1"/>
  <c r="P83" i="1"/>
  <c r="O83" i="1"/>
  <c r="T82" i="1"/>
  <c r="S82" i="1"/>
  <c r="R82" i="1"/>
  <c r="Q82" i="1"/>
  <c r="P82" i="1"/>
  <c r="O82" i="1"/>
  <c r="T81" i="1"/>
  <c r="S81" i="1"/>
  <c r="R81" i="1"/>
  <c r="Q81" i="1"/>
  <c r="P81" i="1"/>
  <c r="O81" i="1"/>
  <c r="T80" i="1"/>
  <c r="S80" i="1"/>
  <c r="R80" i="1"/>
  <c r="Q80" i="1"/>
  <c r="P80" i="1"/>
  <c r="O80" i="1"/>
  <c r="T79" i="1"/>
  <c r="S79" i="1"/>
  <c r="R79" i="1"/>
  <c r="Q79" i="1"/>
  <c r="P79" i="1"/>
  <c r="O79" i="1"/>
  <c r="T78" i="1"/>
  <c r="AZ78" i="1" s="1"/>
  <c r="S78" i="1"/>
  <c r="AY78" i="1" s="1"/>
  <c r="R78" i="1"/>
  <c r="AX78" i="1" s="1"/>
  <c r="Q78" i="1"/>
  <c r="AW78" i="1" s="1"/>
  <c r="P78" i="1"/>
  <c r="AV78" i="1" s="1"/>
  <c r="O78" i="1"/>
  <c r="AU78" i="1" s="1"/>
  <c r="T77" i="1"/>
  <c r="AZ77" i="1" s="1"/>
  <c r="S77" i="1"/>
  <c r="AY77" i="1" s="1"/>
  <c r="R77" i="1"/>
  <c r="AX77" i="1" s="1"/>
  <c r="Q77" i="1"/>
  <c r="AW77" i="1" s="1"/>
  <c r="P77" i="1"/>
  <c r="AV77" i="1" s="1"/>
  <c r="O77" i="1"/>
  <c r="AU77" i="1" s="1"/>
  <c r="T76" i="1"/>
  <c r="AZ76" i="1" s="1"/>
  <c r="S76" i="1"/>
  <c r="AY76" i="1" s="1"/>
  <c r="R76" i="1"/>
  <c r="AX76" i="1" s="1"/>
  <c r="Q76" i="1"/>
  <c r="AW76" i="1" s="1"/>
  <c r="P76" i="1"/>
  <c r="AV76" i="1" s="1"/>
  <c r="O76" i="1"/>
  <c r="AU76" i="1" s="1"/>
  <c r="T75" i="1"/>
  <c r="AZ75" i="1" s="1"/>
  <c r="S75" i="1"/>
  <c r="AY75" i="1" s="1"/>
  <c r="R75" i="1"/>
  <c r="AX75" i="1" s="1"/>
  <c r="Q75" i="1"/>
  <c r="AW75" i="1" s="1"/>
  <c r="P75" i="1"/>
  <c r="AV75" i="1" s="1"/>
  <c r="O75" i="1"/>
  <c r="AU75" i="1" s="1"/>
  <c r="T74" i="1"/>
  <c r="AZ74" i="1" s="1"/>
  <c r="S74" i="1"/>
  <c r="AY74" i="1" s="1"/>
  <c r="R74" i="1"/>
  <c r="Q74" i="1"/>
  <c r="P74" i="1"/>
  <c r="O74" i="1"/>
  <c r="T73" i="1"/>
  <c r="S73" i="1"/>
  <c r="R73" i="1"/>
  <c r="Q73" i="1"/>
  <c r="P73" i="1"/>
  <c r="O73" i="1"/>
  <c r="T72" i="1"/>
  <c r="S72" i="1"/>
  <c r="R72" i="1"/>
  <c r="Q72" i="1"/>
  <c r="P72" i="1"/>
  <c r="O72" i="1"/>
  <c r="T71" i="1"/>
  <c r="S71" i="1"/>
  <c r="R71" i="1"/>
  <c r="Q71" i="1"/>
  <c r="P71" i="1"/>
  <c r="O71" i="1"/>
  <c r="T70" i="1"/>
  <c r="S70" i="1"/>
  <c r="R70" i="1"/>
  <c r="Q70" i="1"/>
  <c r="P70" i="1"/>
  <c r="O70" i="1"/>
  <c r="T69" i="1"/>
  <c r="S69" i="1"/>
  <c r="R69" i="1"/>
  <c r="Q69" i="1"/>
  <c r="P69" i="1"/>
  <c r="O69" i="1"/>
  <c r="T68" i="1"/>
  <c r="S68" i="1"/>
  <c r="R68" i="1"/>
  <c r="Q68" i="1"/>
  <c r="P68" i="1"/>
  <c r="O68" i="1"/>
  <c r="T67" i="1"/>
  <c r="S67" i="1"/>
  <c r="R67" i="1"/>
  <c r="Q67" i="1"/>
  <c r="P67" i="1"/>
  <c r="O67" i="1"/>
  <c r="T66" i="1"/>
  <c r="S66" i="1"/>
  <c r="R66" i="1"/>
  <c r="Q66" i="1"/>
  <c r="P66" i="1"/>
  <c r="O66" i="1"/>
  <c r="T65" i="1"/>
  <c r="S65" i="1"/>
  <c r="R65" i="1"/>
  <c r="Q65" i="1"/>
  <c r="P65" i="1"/>
  <c r="O65" i="1"/>
  <c r="T64" i="1"/>
  <c r="S64" i="1"/>
  <c r="R64" i="1"/>
  <c r="Q64" i="1"/>
  <c r="P64" i="1"/>
  <c r="O64" i="1"/>
  <c r="T63" i="1"/>
  <c r="S63" i="1"/>
  <c r="R63" i="1"/>
  <c r="Q63" i="1"/>
  <c r="P63" i="1"/>
  <c r="O63" i="1"/>
  <c r="T62" i="1"/>
  <c r="S62" i="1"/>
  <c r="R62" i="1"/>
  <c r="Q62" i="1"/>
  <c r="P62" i="1"/>
  <c r="O62" i="1"/>
  <c r="T61" i="1"/>
  <c r="S61" i="1"/>
  <c r="R61" i="1"/>
  <c r="Q61" i="1"/>
  <c r="P61" i="1"/>
  <c r="O61" i="1"/>
  <c r="T60" i="1"/>
  <c r="S60" i="1"/>
  <c r="R60" i="1"/>
  <c r="Q60" i="1"/>
  <c r="P60" i="1"/>
  <c r="O60" i="1"/>
  <c r="T59" i="1"/>
  <c r="S59" i="1"/>
  <c r="R59" i="1"/>
  <c r="Q59" i="1"/>
  <c r="P59" i="1"/>
  <c r="O59" i="1"/>
  <c r="T58" i="1"/>
  <c r="S58" i="1"/>
  <c r="R58" i="1"/>
  <c r="Q58" i="1"/>
  <c r="P58" i="1"/>
  <c r="O58" i="1"/>
  <c r="T57" i="1"/>
  <c r="S57" i="1"/>
  <c r="R57" i="1"/>
  <c r="Q57" i="1"/>
  <c r="P57" i="1"/>
  <c r="O57" i="1"/>
  <c r="T56" i="1"/>
  <c r="S56" i="1"/>
  <c r="R56" i="1"/>
  <c r="Q56" i="1"/>
  <c r="P56" i="1"/>
  <c r="O56" i="1"/>
  <c r="T55" i="1"/>
  <c r="S55" i="1"/>
  <c r="R55" i="1"/>
  <c r="Q55" i="1"/>
  <c r="P55" i="1"/>
  <c r="O55" i="1"/>
  <c r="T54" i="1"/>
  <c r="S54" i="1"/>
  <c r="R54" i="1"/>
  <c r="Q54" i="1"/>
  <c r="P54" i="1"/>
  <c r="O54" i="1"/>
  <c r="T53" i="1"/>
  <c r="S53" i="1"/>
  <c r="R53" i="1"/>
  <c r="Q53" i="1"/>
  <c r="P53" i="1"/>
  <c r="O53" i="1"/>
  <c r="T52" i="1"/>
  <c r="S52" i="1"/>
  <c r="R52" i="1"/>
  <c r="Q52" i="1"/>
  <c r="P52" i="1"/>
  <c r="O52" i="1"/>
  <c r="T51" i="1"/>
  <c r="S51" i="1"/>
  <c r="R51" i="1"/>
  <c r="Q51" i="1"/>
  <c r="P51" i="1"/>
  <c r="O51" i="1"/>
  <c r="T50" i="1"/>
  <c r="S50" i="1"/>
  <c r="R50" i="1"/>
  <c r="Q50" i="1"/>
  <c r="P50" i="1"/>
  <c r="O50" i="1"/>
  <c r="T49" i="1"/>
  <c r="S49" i="1"/>
  <c r="R49" i="1"/>
  <c r="Q49" i="1"/>
  <c r="P49" i="1"/>
  <c r="O49" i="1"/>
  <c r="T48" i="1"/>
  <c r="S48" i="1"/>
  <c r="R48" i="1"/>
  <c r="Q48" i="1"/>
  <c r="P48" i="1"/>
  <c r="O48" i="1"/>
  <c r="T47" i="1"/>
  <c r="S47" i="1"/>
  <c r="R47" i="1"/>
  <c r="Q47" i="1"/>
  <c r="P47" i="1"/>
  <c r="O47" i="1"/>
  <c r="T46" i="1"/>
  <c r="S46" i="1"/>
  <c r="R46" i="1"/>
  <c r="Q46" i="1"/>
  <c r="P46" i="1"/>
  <c r="O46" i="1"/>
  <c r="T45" i="1"/>
  <c r="S45" i="1"/>
  <c r="R45" i="1"/>
  <c r="Q45" i="1"/>
  <c r="P45" i="1"/>
  <c r="O45" i="1"/>
  <c r="T44" i="1"/>
  <c r="S44" i="1"/>
  <c r="R44" i="1"/>
  <c r="Q44" i="1"/>
  <c r="P44" i="1"/>
  <c r="O44" i="1"/>
  <c r="T43" i="1"/>
  <c r="S43" i="1"/>
  <c r="R43" i="1"/>
  <c r="Q43" i="1"/>
  <c r="P43" i="1"/>
  <c r="O43" i="1"/>
  <c r="T42" i="1"/>
  <c r="S42" i="1"/>
  <c r="R42" i="1"/>
  <c r="Q42" i="1"/>
  <c r="P42" i="1"/>
  <c r="O42" i="1"/>
  <c r="T41" i="1"/>
  <c r="S41" i="1"/>
  <c r="R41" i="1"/>
  <c r="Q41" i="1"/>
  <c r="P41" i="1"/>
  <c r="O41" i="1"/>
  <c r="T40" i="1"/>
  <c r="S40" i="1"/>
  <c r="R40" i="1"/>
  <c r="Q40" i="1"/>
  <c r="P40" i="1"/>
  <c r="O40" i="1"/>
  <c r="T39" i="1"/>
  <c r="S39" i="1"/>
  <c r="R39" i="1"/>
  <c r="Q39" i="1"/>
  <c r="AQ39" i="1" s="1"/>
  <c r="P39" i="1"/>
  <c r="AP39" i="1" s="1"/>
  <c r="O39" i="1"/>
  <c r="AO39" i="1" s="1"/>
  <c r="T38" i="1"/>
  <c r="AT38" i="1" s="1"/>
  <c r="S38" i="1"/>
  <c r="AS38" i="1" s="1"/>
  <c r="R38" i="1"/>
  <c r="AR38" i="1" s="1"/>
  <c r="Q38" i="1"/>
  <c r="AQ38" i="1" s="1"/>
  <c r="P38" i="1"/>
  <c r="AP38" i="1" s="1"/>
  <c r="O38" i="1"/>
  <c r="AO38" i="1" s="1"/>
  <c r="T37" i="1"/>
  <c r="AT37" i="1" s="1"/>
  <c r="S37" i="1"/>
  <c r="AS37" i="1" s="1"/>
  <c r="R37" i="1"/>
  <c r="AR37" i="1" s="1"/>
  <c r="Q37" i="1"/>
  <c r="AQ37" i="1" s="1"/>
  <c r="P37" i="1"/>
  <c r="AP37" i="1" s="1"/>
  <c r="O37" i="1"/>
  <c r="AO37" i="1" s="1"/>
  <c r="T36" i="1"/>
  <c r="AT36" i="1" s="1"/>
  <c r="S36" i="1"/>
  <c r="AS36" i="1" s="1"/>
  <c r="R36" i="1"/>
  <c r="AR36" i="1" s="1"/>
  <c r="Q36" i="1"/>
  <c r="AQ36" i="1" s="1"/>
  <c r="P36" i="1"/>
  <c r="AP36" i="1" s="1"/>
  <c r="O36" i="1"/>
  <c r="AO36" i="1" s="1"/>
  <c r="T35" i="1"/>
  <c r="AT35" i="1" s="1"/>
  <c r="S35" i="1"/>
  <c r="AS35" i="1" s="1"/>
  <c r="R35" i="1"/>
  <c r="AR35" i="1" s="1"/>
  <c r="Q35" i="1"/>
  <c r="AQ35" i="1" s="1"/>
  <c r="P35" i="1"/>
  <c r="AP35" i="1" s="1"/>
  <c r="O35" i="1"/>
  <c r="AO35" i="1" s="1"/>
  <c r="T34" i="1"/>
  <c r="AT34" i="1" s="1"/>
  <c r="S34" i="1"/>
  <c r="AS34" i="1" s="1"/>
  <c r="R34" i="1"/>
  <c r="AR34" i="1" s="1"/>
  <c r="Q34" i="1"/>
  <c r="AQ34" i="1" s="1"/>
  <c r="P34" i="1"/>
  <c r="AP34" i="1" s="1"/>
  <c r="O34" i="1"/>
  <c r="AO34" i="1" s="1"/>
  <c r="T33" i="1"/>
  <c r="AT33" i="1" s="1"/>
  <c r="S33" i="1"/>
  <c r="AS33" i="1" s="1"/>
  <c r="R33" i="1"/>
  <c r="AR33" i="1" s="1"/>
  <c r="Q33" i="1"/>
  <c r="AQ33" i="1" s="1"/>
  <c r="P33" i="1"/>
  <c r="AP33" i="1" s="1"/>
  <c r="O33" i="1"/>
  <c r="AO33" i="1" s="1"/>
  <c r="T32" i="1"/>
  <c r="AT32" i="1" s="1"/>
  <c r="S32" i="1"/>
  <c r="AS32" i="1" s="1"/>
  <c r="R32" i="1"/>
  <c r="AR32" i="1" s="1"/>
  <c r="Q32" i="1"/>
  <c r="AQ32" i="1" s="1"/>
  <c r="P32" i="1"/>
  <c r="AP32" i="1" s="1"/>
  <c r="O32" i="1"/>
  <c r="AO32" i="1" s="1"/>
  <c r="T31" i="1"/>
  <c r="AT31" i="1" s="1"/>
  <c r="S31" i="1"/>
  <c r="AS31" i="1" s="1"/>
  <c r="R31" i="1"/>
  <c r="AR31" i="1" s="1"/>
  <c r="Q31" i="1"/>
  <c r="AQ31" i="1" s="1"/>
  <c r="P31" i="1"/>
  <c r="AP31" i="1" s="1"/>
  <c r="O31" i="1"/>
  <c r="AO31" i="1" s="1"/>
  <c r="T30" i="1"/>
  <c r="AT30" i="1" s="1"/>
  <c r="S30" i="1"/>
  <c r="AS30" i="1" s="1"/>
  <c r="R30" i="1"/>
  <c r="AR30" i="1" s="1"/>
  <c r="Q30" i="1"/>
  <c r="AQ30" i="1" s="1"/>
  <c r="P30" i="1"/>
  <c r="AP30" i="1" s="1"/>
  <c r="O30" i="1"/>
  <c r="AO30" i="1" s="1"/>
  <c r="T29" i="1"/>
  <c r="AT29" i="1" s="1"/>
  <c r="S29" i="1"/>
  <c r="AS29" i="1" s="1"/>
  <c r="R29" i="1"/>
  <c r="AR29" i="1" s="1"/>
  <c r="Q29" i="1"/>
  <c r="AQ29" i="1" s="1"/>
  <c r="P29" i="1"/>
  <c r="AP29" i="1" s="1"/>
  <c r="O29" i="1"/>
  <c r="AO29" i="1" s="1"/>
  <c r="T28" i="1"/>
  <c r="AT28" i="1" s="1"/>
  <c r="S28" i="1"/>
  <c r="AS28" i="1" s="1"/>
  <c r="R28" i="1"/>
  <c r="AR28" i="1" s="1"/>
  <c r="Q28" i="1"/>
  <c r="AQ28" i="1" s="1"/>
  <c r="P28" i="1"/>
  <c r="AP28" i="1" s="1"/>
  <c r="O28" i="1"/>
  <c r="AO28" i="1" s="1"/>
  <c r="T27" i="1"/>
  <c r="AT27" i="1" s="1"/>
  <c r="S27" i="1"/>
  <c r="AS27" i="1" s="1"/>
  <c r="R27" i="1"/>
  <c r="AR27" i="1" s="1"/>
  <c r="Q27" i="1"/>
  <c r="AQ27" i="1" s="1"/>
  <c r="P27" i="1"/>
  <c r="AP27" i="1" s="1"/>
  <c r="O27" i="1"/>
  <c r="AO27" i="1" s="1"/>
  <c r="T26" i="1"/>
  <c r="AT26" i="1" s="1"/>
  <c r="S26" i="1"/>
  <c r="AS26" i="1" s="1"/>
  <c r="R26" i="1"/>
  <c r="AR26" i="1" s="1"/>
  <c r="Q26" i="1"/>
  <c r="AQ26" i="1" s="1"/>
  <c r="P26" i="1"/>
  <c r="AP26" i="1" s="1"/>
  <c r="O26" i="1"/>
  <c r="AO26" i="1" s="1"/>
  <c r="T25" i="1"/>
  <c r="AT25" i="1" s="1"/>
  <c r="S25" i="1"/>
  <c r="AS25" i="1" s="1"/>
  <c r="R25" i="1"/>
  <c r="AR25" i="1" s="1"/>
  <c r="Q25" i="1"/>
  <c r="AQ25" i="1" s="1"/>
  <c r="P25" i="1"/>
  <c r="AP25" i="1" s="1"/>
  <c r="O25" i="1"/>
  <c r="AO25" i="1" s="1"/>
  <c r="T24" i="1"/>
  <c r="AT24" i="1" s="1"/>
  <c r="S24" i="1"/>
  <c r="AS24" i="1" s="1"/>
  <c r="R24" i="1"/>
  <c r="AR24" i="1" s="1"/>
  <c r="Q24" i="1"/>
  <c r="AQ24" i="1" s="1"/>
  <c r="P24" i="1"/>
  <c r="AP24" i="1" s="1"/>
  <c r="O24" i="1"/>
  <c r="AO24" i="1" s="1"/>
  <c r="T23" i="1"/>
  <c r="AT23" i="1" s="1"/>
  <c r="S23" i="1"/>
  <c r="AS23" i="1" s="1"/>
  <c r="R23" i="1"/>
  <c r="AR23" i="1" s="1"/>
  <c r="Q23" i="1"/>
  <c r="AQ23" i="1" s="1"/>
  <c r="P23" i="1"/>
  <c r="AP23" i="1" s="1"/>
  <c r="O23" i="1"/>
  <c r="AO23" i="1" s="1"/>
  <c r="T22" i="1"/>
  <c r="AT22" i="1" s="1"/>
  <c r="S22" i="1"/>
  <c r="AS22" i="1" s="1"/>
  <c r="R22" i="1"/>
  <c r="AR22" i="1" s="1"/>
  <c r="Q22" i="1"/>
  <c r="AQ22" i="1" s="1"/>
  <c r="P22" i="1"/>
  <c r="AP22" i="1" s="1"/>
  <c r="O22" i="1"/>
  <c r="AO22" i="1" s="1"/>
  <c r="T21" i="1"/>
  <c r="AT21" i="1" s="1"/>
  <c r="S21" i="1"/>
  <c r="AS21" i="1" s="1"/>
  <c r="R21" i="1"/>
  <c r="AR21" i="1" s="1"/>
  <c r="Q21" i="1"/>
  <c r="AQ21" i="1" s="1"/>
  <c r="P21" i="1"/>
  <c r="AP21" i="1" s="1"/>
  <c r="O21" i="1"/>
  <c r="AO21" i="1" s="1"/>
  <c r="T20" i="1"/>
  <c r="AT20" i="1" s="1"/>
  <c r="S20" i="1"/>
  <c r="AS20" i="1" s="1"/>
  <c r="R20" i="1"/>
  <c r="AR20" i="1" s="1"/>
  <c r="Q20" i="1"/>
  <c r="AQ20" i="1" s="1"/>
  <c r="P20" i="1"/>
  <c r="AP20" i="1" s="1"/>
  <c r="O20" i="1"/>
  <c r="AO20" i="1" s="1"/>
  <c r="T19" i="1"/>
  <c r="AT19" i="1" s="1"/>
  <c r="S19" i="1"/>
  <c r="AS19" i="1" s="1"/>
  <c r="R19" i="1"/>
  <c r="AR19" i="1" s="1"/>
  <c r="Q19" i="1"/>
  <c r="AQ19" i="1" s="1"/>
  <c r="P19" i="1"/>
  <c r="AP19" i="1" s="1"/>
  <c r="O19" i="1"/>
  <c r="AO19" i="1" s="1"/>
  <c r="T18" i="1"/>
  <c r="AT18" i="1" s="1"/>
  <c r="S18" i="1"/>
  <c r="AS18" i="1" s="1"/>
  <c r="R18" i="1"/>
  <c r="AR18" i="1" s="1"/>
  <c r="Q18" i="1"/>
  <c r="AQ18" i="1" s="1"/>
  <c r="P18" i="1"/>
  <c r="AP18" i="1" s="1"/>
  <c r="O18" i="1"/>
  <c r="AO18" i="1" s="1"/>
  <c r="T17" i="1"/>
  <c r="AT17" i="1" s="1"/>
  <c r="S17" i="1"/>
  <c r="AS17" i="1" s="1"/>
  <c r="R17" i="1"/>
  <c r="AR17" i="1" s="1"/>
  <c r="Q17" i="1"/>
  <c r="AQ17" i="1" s="1"/>
  <c r="P17" i="1"/>
  <c r="AP17" i="1" s="1"/>
  <c r="O17" i="1"/>
  <c r="AO17" i="1" s="1"/>
  <c r="T16" i="1"/>
  <c r="AT16" i="1" s="1"/>
  <c r="S16" i="1"/>
  <c r="AS16" i="1" s="1"/>
  <c r="R16" i="1"/>
  <c r="AR16" i="1" s="1"/>
  <c r="Q16" i="1"/>
  <c r="AQ16" i="1" s="1"/>
  <c r="P16" i="1"/>
  <c r="AP16" i="1" s="1"/>
  <c r="O16" i="1"/>
  <c r="AO16" i="1" s="1"/>
  <c r="T15" i="1"/>
  <c r="AT15" i="1" s="1"/>
  <c r="S15" i="1"/>
  <c r="AS15" i="1" s="1"/>
  <c r="R15" i="1"/>
  <c r="AR15" i="1" s="1"/>
  <c r="Q15" i="1"/>
  <c r="AQ15" i="1" s="1"/>
  <c r="P15" i="1"/>
  <c r="AP15" i="1" s="1"/>
  <c r="O15" i="1"/>
  <c r="AO15" i="1" s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AW126" i="1" l="1"/>
  <c r="AW146" i="1"/>
  <c r="AY144" i="1"/>
  <c r="AX144" i="1"/>
  <c r="AV126" i="1"/>
  <c r="AQ146" i="1"/>
  <c r="AS144" i="1"/>
  <c r="AR144" i="1"/>
  <c r="AQ144" i="1"/>
  <c r="AQ126" i="1"/>
  <c r="AP126" i="1"/>
  <c r="AO126" i="1"/>
  <c r="AT125" i="1"/>
  <c r="AT78" i="1"/>
  <c r="AS78" i="1"/>
  <c r="AR78" i="1"/>
  <c r="AQ78" i="1"/>
  <c r="AP78" i="1"/>
  <c r="AO78" i="1"/>
  <c r="AT77" i="1"/>
  <c r="AS77" i="1"/>
  <c r="AR77" i="1"/>
  <c r="AQ77" i="1"/>
  <c r="AP77" i="1"/>
  <c r="AO77" i="1"/>
  <c r="AT76" i="1"/>
  <c r="AS76" i="1"/>
  <c r="AR76" i="1"/>
  <c r="AQ76" i="1"/>
  <c r="AP76" i="1"/>
  <c r="AO76" i="1"/>
  <c r="AT75" i="1"/>
  <c r="AS75" i="1"/>
  <c r="AR75" i="1"/>
  <c r="AQ75" i="1"/>
  <c r="AP75" i="1"/>
  <c r="AO75" i="1"/>
  <c r="AT74" i="1"/>
  <c r="AS74" i="1"/>
  <c r="AT40" i="1"/>
  <c r="AS40" i="1"/>
  <c r="AR40" i="1"/>
  <c r="AQ40" i="1"/>
  <c r="AP40" i="1"/>
  <c r="AO40" i="1"/>
  <c r="AT39" i="1"/>
  <c r="AS39" i="1"/>
  <c r="AR39" i="1"/>
  <c r="AT161" i="1"/>
  <c r="AZ161" i="1"/>
  <c r="AS161" i="1"/>
  <c r="AY161" i="1"/>
  <c r="AR161" i="1"/>
  <c r="AX161" i="1"/>
  <c r="AQ161" i="1"/>
  <c r="AW161" i="1"/>
  <c r="AP161" i="1"/>
  <c r="AV161" i="1"/>
  <c r="AO161" i="1"/>
  <c r="AU161" i="1"/>
  <c r="AT160" i="1"/>
  <c r="AZ160" i="1"/>
  <c r="AS160" i="1"/>
  <c r="AY160" i="1"/>
  <c r="AR160" i="1"/>
  <c r="AX160" i="1"/>
  <c r="AQ160" i="1"/>
  <c r="AW160" i="1"/>
  <c r="AP160" i="1"/>
  <c r="AV160" i="1"/>
  <c r="AO160" i="1"/>
  <c r="AU160" i="1"/>
  <c r="AT159" i="1"/>
  <c r="AZ159" i="1"/>
  <c r="AS159" i="1"/>
  <c r="AY159" i="1"/>
  <c r="AR159" i="1"/>
  <c r="AX159" i="1"/>
  <c r="AQ159" i="1"/>
  <c r="AW159" i="1"/>
  <c r="AP159" i="1"/>
  <c r="AV159" i="1"/>
  <c r="AO159" i="1"/>
  <c r="AU159" i="1"/>
  <c r="AT158" i="1"/>
  <c r="AZ158" i="1"/>
  <c r="AS158" i="1"/>
  <c r="AY158" i="1"/>
  <c r="AR158" i="1"/>
  <c r="AX158" i="1"/>
  <c r="AQ158" i="1"/>
  <c r="AW158" i="1"/>
  <c r="AP158" i="1"/>
  <c r="AV158" i="1"/>
  <c r="AO158" i="1"/>
  <c r="AU158" i="1"/>
  <c r="AT157" i="1"/>
  <c r="AZ157" i="1"/>
  <c r="AS157" i="1"/>
  <c r="AY157" i="1"/>
  <c r="AR157" i="1"/>
  <c r="AX157" i="1"/>
  <c r="AQ157" i="1"/>
  <c r="AW157" i="1"/>
  <c r="AP157" i="1"/>
  <c r="AV157" i="1"/>
  <c r="AO157" i="1"/>
  <c r="AU157" i="1"/>
  <c r="AT156" i="1"/>
  <c r="AZ156" i="1"/>
  <c r="AS156" i="1"/>
  <c r="AY156" i="1"/>
  <c r="AR156" i="1"/>
  <c r="AX156" i="1"/>
  <c r="AQ156" i="1"/>
  <c r="AW156" i="1"/>
  <c r="AP156" i="1"/>
  <c r="AV156" i="1"/>
  <c r="AO156" i="1"/>
  <c r="AU156" i="1"/>
  <c r="AT155" i="1"/>
  <c r="AZ155" i="1"/>
  <c r="AS155" i="1"/>
  <c r="AY155" i="1"/>
  <c r="AR155" i="1"/>
  <c r="AX155" i="1"/>
  <c r="AQ155" i="1"/>
  <c r="AW155" i="1"/>
  <c r="AP155" i="1"/>
  <c r="AV155" i="1"/>
  <c r="AO155" i="1"/>
  <c r="AU155" i="1"/>
  <c r="AT154" i="1"/>
  <c r="AZ154" i="1"/>
  <c r="AS154" i="1"/>
  <c r="AY154" i="1"/>
  <c r="AR154" i="1"/>
  <c r="AX154" i="1"/>
  <c r="AQ154" i="1"/>
  <c r="AW154" i="1"/>
  <c r="AP154" i="1"/>
  <c r="AV154" i="1"/>
  <c r="AO154" i="1"/>
  <c r="AU154" i="1"/>
  <c r="AT153" i="1"/>
  <c r="AZ153" i="1"/>
  <c r="AS153" i="1"/>
  <c r="AY153" i="1"/>
  <c r="AR153" i="1"/>
  <c r="AX153" i="1"/>
  <c r="AQ153" i="1"/>
  <c r="AW153" i="1"/>
  <c r="AP153" i="1"/>
  <c r="AV153" i="1"/>
  <c r="AO153" i="1"/>
  <c r="AU153" i="1"/>
  <c r="AT152" i="1"/>
  <c r="AZ152" i="1"/>
  <c r="AS152" i="1"/>
  <c r="AY152" i="1"/>
  <c r="AR152" i="1"/>
  <c r="AX152" i="1"/>
  <c r="AQ152" i="1"/>
  <c r="AW152" i="1"/>
  <c r="AP152" i="1"/>
  <c r="AV152" i="1"/>
  <c r="AO152" i="1"/>
  <c r="AU152" i="1"/>
  <c r="AT151" i="1"/>
  <c r="AZ151" i="1"/>
  <c r="AS151" i="1"/>
  <c r="AY151" i="1"/>
  <c r="AR151" i="1"/>
  <c r="AX151" i="1"/>
  <c r="AQ151" i="1"/>
  <c r="AW151" i="1"/>
  <c r="AP151" i="1"/>
  <c r="AV151" i="1"/>
  <c r="AO151" i="1"/>
  <c r="AU151" i="1"/>
  <c r="AT150" i="1"/>
  <c r="AZ150" i="1"/>
  <c r="AS150" i="1"/>
  <c r="AY150" i="1"/>
  <c r="AR150" i="1"/>
  <c r="AX150" i="1"/>
  <c r="AQ150" i="1"/>
  <c r="AW150" i="1"/>
  <c r="AP150" i="1"/>
  <c r="AV150" i="1"/>
  <c r="AO150" i="1"/>
  <c r="AU150" i="1"/>
  <c r="AT149" i="1"/>
  <c r="AZ149" i="1"/>
  <c r="AS149" i="1"/>
  <c r="AY149" i="1"/>
  <c r="AR149" i="1"/>
  <c r="AX149" i="1"/>
  <c r="AQ149" i="1"/>
  <c r="AW149" i="1"/>
  <c r="AP149" i="1"/>
  <c r="AV149" i="1"/>
  <c r="AO149" i="1"/>
  <c r="AU149" i="1"/>
  <c r="AT148" i="1"/>
  <c r="AZ148" i="1"/>
  <c r="AS148" i="1"/>
  <c r="AY148" i="1"/>
  <c r="AR148" i="1"/>
  <c r="AX148" i="1"/>
  <c r="AQ148" i="1"/>
  <c r="AW148" i="1"/>
  <c r="AP148" i="1"/>
  <c r="AV148" i="1"/>
  <c r="AO148" i="1"/>
  <c r="AU148" i="1"/>
  <c r="AT147" i="1"/>
  <c r="AZ147" i="1"/>
  <c r="AS147" i="1"/>
  <c r="AY147" i="1"/>
  <c r="AR147" i="1"/>
  <c r="AX147" i="1"/>
  <c r="AQ147" i="1"/>
  <c r="AW147" i="1"/>
  <c r="AP147" i="1"/>
  <c r="AV147" i="1"/>
  <c r="AO147" i="1"/>
  <c r="AU147" i="1"/>
  <c r="AT146" i="1"/>
  <c r="AZ146" i="1"/>
  <c r="AS146" i="1"/>
  <c r="AY146" i="1"/>
  <c r="AR146" i="1"/>
  <c r="AX146" i="1"/>
  <c r="AP146" i="1"/>
  <c r="AV146" i="1"/>
  <c r="AO146" i="1"/>
  <c r="AU146" i="1"/>
  <c r="AT145" i="1"/>
  <c r="AZ145" i="1"/>
  <c r="AS145" i="1"/>
  <c r="AY145" i="1"/>
  <c r="AR145" i="1"/>
  <c r="AX145" i="1"/>
  <c r="AQ145" i="1"/>
  <c r="AW145" i="1"/>
  <c r="AP145" i="1"/>
  <c r="AV145" i="1"/>
  <c r="AO145" i="1"/>
  <c r="AU145" i="1"/>
  <c r="AT144" i="1"/>
  <c r="AZ144" i="1"/>
  <c r="AP144" i="1"/>
  <c r="AV144" i="1"/>
  <c r="AO144" i="1"/>
  <c r="AU144" i="1"/>
  <c r="AT143" i="1"/>
  <c r="AZ143" i="1"/>
  <c r="AS143" i="1"/>
  <c r="AY143" i="1"/>
  <c r="AR143" i="1"/>
  <c r="AX143" i="1"/>
  <c r="AQ143" i="1"/>
  <c r="AW143" i="1"/>
  <c r="AP143" i="1"/>
  <c r="AV143" i="1"/>
  <c r="AO143" i="1"/>
  <c r="AU143" i="1"/>
  <c r="AT142" i="1"/>
  <c r="AZ142" i="1"/>
  <c r="AS142" i="1"/>
  <c r="AY142" i="1"/>
  <c r="AR142" i="1"/>
  <c r="AX142" i="1"/>
  <c r="AQ142" i="1"/>
  <c r="AW142" i="1"/>
  <c r="AP142" i="1"/>
  <c r="AV142" i="1"/>
  <c r="AO142" i="1"/>
  <c r="AU142" i="1"/>
  <c r="AT141" i="1"/>
  <c r="AZ141" i="1"/>
  <c r="AS141" i="1"/>
  <c r="AY141" i="1"/>
  <c r="AR141" i="1"/>
  <c r="AX141" i="1"/>
  <c r="AQ141" i="1"/>
  <c r="AW141" i="1"/>
  <c r="AP141" i="1"/>
  <c r="AV141" i="1"/>
  <c r="AO141" i="1"/>
  <c r="AU141" i="1"/>
  <c r="AT140" i="1"/>
  <c r="AZ140" i="1"/>
  <c r="AS140" i="1"/>
  <c r="AY140" i="1"/>
  <c r="AR140" i="1"/>
  <c r="AX140" i="1"/>
  <c r="AQ140" i="1"/>
  <c r="AW140" i="1"/>
  <c r="AP140" i="1"/>
  <c r="AV140" i="1"/>
  <c r="AO140" i="1"/>
  <c r="AU140" i="1"/>
  <c r="AT139" i="1"/>
  <c r="AZ139" i="1"/>
  <c r="AS139" i="1"/>
  <c r="AY139" i="1"/>
  <c r="AR139" i="1"/>
  <c r="AX139" i="1"/>
  <c r="AQ139" i="1"/>
  <c r="AW139" i="1"/>
  <c r="AP139" i="1"/>
  <c r="AV139" i="1"/>
  <c r="AO139" i="1"/>
  <c r="AU139" i="1"/>
  <c r="AT138" i="1"/>
  <c r="AZ138" i="1"/>
  <c r="AS138" i="1"/>
  <c r="AY138" i="1"/>
  <c r="AR138" i="1"/>
  <c r="AX138" i="1"/>
  <c r="AQ138" i="1"/>
  <c r="AW138" i="1"/>
  <c r="AP138" i="1"/>
  <c r="AV138" i="1"/>
  <c r="AO138" i="1"/>
  <c r="AU138" i="1"/>
  <c r="AT137" i="1"/>
  <c r="AZ137" i="1"/>
  <c r="AS137" i="1"/>
  <c r="AY137" i="1"/>
  <c r="AR137" i="1"/>
  <c r="AX137" i="1"/>
  <c r="AQ137" i="1"/>
  <c r="AW137" i="1"/>
  <c r="AP137" i="1"/>
  <c r="AV137" i="1"/>
  <c r="AO137" i="1"/>
  <c r="AU137" i="1"/>
  <c r="AT136" i="1"/>
  <c r="AZ136" i="1"/>
  <c r="AS136" i="1"/>
  <c r="AY136" i="1"/>
  <c r="AR136" i="1"/>
  <c r="AX136" i="1"/>
  <c r="AQ136" i="1"/>
  <c r="AW136" i="1"/>
  <c r="AP136" i="1"/>
  <c r="AV136" i="1"/>
  <c r="AO136" i="1"/>
  <c r="AU136" i="1"/>
  <c r="AT135" i="1"/>
  <c r="AZ135" i="1"/>
  <c r="AS135" i="1"/>
  <c r="AY135" i="1"/>
  <c r="AR135" i="1"/>
  <c r="AX135" i="1"/>
  <c r="AQ135" i="1"/>
  <c r="AW135" i="1"/>
  <c r="AP135" i="1"/>
  <c r="AV135" i="1"/>
  <c r="AO135" i="1"/>
  <c r="AU135" i="1"/>
  <c r="AT134" i="1"/>
  <c r="AZ134" i="1"/>
  <c r="AS134" i="1"/>
  <c r="AY134" i="1"/>
  <c r="AR134" i="1"/>
  <c r="AX134" i="1"/>
  <c r="AQ134" i="1"/>
  <c r="AW134" i="1"/>
  <c r="AP134" i="1"/>
  <c r="AV134" i="1"/>
  <c r="AO134" i="1"/>
  <c r="AU134" i="1"/>
  <c r="AT133" i="1"/>
  <c r="AZ133" i="1"/>
  <c r="AS133" i="1"/>
  <c r="AY133" i="1"/>
  <c r="AR133" i="1"/>
  <c r="AX133" i="1"/>
  <c r="AQ133" i="1"/>
  <c r="AW133" i="1"/>
  <c r="AP133" i="1"/>
  <c r="AV133" i="1"/>
  <c r="AO133" i="1"/>
  <c r="AU133" i="1"/>
  <c r="AT132" i="1"/>
  <c r="AZ132" i="1"/>
  <c r="AS132" i="1"/>
  <c r="AY132" i="1"/>
  <c r="AR132" i="1"/>
  <c r="AX132" i="1"/>
  <c r="AQ132" i="1"/>
  <c r="AW132" i="1"/>
  <c r="AP132" i="1"/>
  <c r="AV132" i="1"/>
  <c r="AO132" i="1"/>
  <c r="AU132" i="1"/>
  <c r="AT131" i="1"/>
  <c r="AZ131" i="1"/>
  <c r="AS131" i="1"/>
  <c r="AY131" i="1"/>
  <c r="AR131" i="1"/>
  <c r="AX131" i="1"/>
  <c r="AQ131" i="1"/>
  <c r="AW131" i="1"/>
  <c r="AP131" i="1"/>
  <c r="AV131" i="1"/>
  <c r="AO131" i="1"/>
  <c r="AU131" i="1"/>
  <c r="AT130" i="1"/>
  <c r="AZ130" i="1"/>
  <c r="AS130" i="1"/>
  <c r="AY130" i="1"/>
  <c r="AR130" i="1"/>
  <c r="AX130" i="1"/>
  <c r="AQ130" i="1"/>
  <c r="AW130" i="1"/>
  <c r="AP130" i="1"/>
  <c r="AV130" i="1"/>
  <c r="AO130" i="1"/>
  <c r="AU130" i="1"/>
  <c r="AT129" i="1"/>
  <c r="AZ129" i="1"/>
  <c r="AS129" i="1"/>
  <c r="AY129" i="1"/>
  <c r="AR129" i="1"/>
  <c r="AX129" i="1"/>
  <c r="AQ129" i="1"/>
  <c r="AW129" i="1"/>
  <c r="AP129" i="1"/>
  <c r="AV129" i="1"/>
  <c r="AO129" i="1"/>
  <c r="AU129" i="1"/>
  <c r="AT128" i="1"/>
  <c r="AZ128" i="1"/>
  <c r="AS128" i="1"/>
  <c r="AY128" i="1"/>
  <c r="AR128" i="1"/>
  <c r="AX128" i="1"/>
  <c r="AQ128" i="1"/>
  <c r="AW128" i="1"/>
  <c r="AP128" i="1"/>
  <c r="AV128" i="1"/>
  <c r="AO128" i="1"/>
  <c r="AU128" i="1"/>
  <c r="AT127" i="1"/>
  <c r="AZ127" i="1"/>
  <c r="AS127" i="1"/>
  <c r="AY127" i="1"/>
  <c r="AR127" i="1"/>
  <c r="AX127" i="1"/>
  <c r="AQ127" i="1"/>
  <c r="AW127" i="1"/>
  <c r="AP127" i="1"/>
  <c r="AV127" i="1"/>
  <c r="AO127" i="1"/>
  <c r="AU127" i="1"/>
  <c r="AT126" i="1"/>
  <c r="AZ126" i="1"/>
  <c r="AS126" i="1"/>
  <c r="AY126" i="1"/>
  <c r="AR126" i="1"/>
  <c r="AX126" i="1"/>
  <c r="AZ81" i="1"/>
  <c r="AT81" i="1"/>
  <c r="AY81" i="1"/>
  <c r="AS81" i="1"/>
  <c r="AX81" i="1"/>
  <c r="AR81" i="1"/>
  <c r="AW81" i="1"/>
  <c r="AQ81" i="1"/>
  <c r="AV81" i="1"/>
  <c r="AP81" i="1"/>
  <c r="AU81" i="1"/>
  <c r="AO81" i="1"/>
  <c r="AZ80" i="1"/>
  <c r="AT80" i="1"/>
  <c r="AY80" i="1"/>
  <c r="AS80" i="1"/>
  <c r="AX80" i="1"/>
  <c r="AR80" i="1"/>
  <c r="AW80" i="1"/>
  <c r="AQ80" i="1"/>
  <c r="AV80" i="1"/>
  <c r="AP80" i="1"/>
  <c r="AU80" i="1"/>
  <c r="AO80" i="1"/>
  <c r="AZ79" i="1"/>
  <c r="AT79" i="1"/>
  <c r="AY79" i="1"/>
  <c r="AS79" i="1"/>
  <c r="AX79" i="1"/>
  <c r="AR79" i="1"/>
  <c r="AW79" i="1"/>
  <c r="AQ79" i="1"/>
  <c r="AV79" i="1"/>
  <c r="AP79" i="1"/>
  <c r="AU79" i="1"/>
  <c r="AO79" i="1"/>
  <c r="AW19" i="1"/>
  <c r="AV18" i="1"/>
  <c r="AY17" i="1"/>
  <c r="AX16" i="1"/>
  <c r="AU16" i="1"/>
  <c r="AX19" i="1"/>
  <c r="AU18" i="1"/>
  <c r="AU17" i="1"/>
  <c r="AV16" i="1"/>
  <c r="AY40" i="1"/>
  <c r="AW40" i="1"/>
  <c r="AU40" i="1"/>
  <c r="AY39" i="1"/>
  <c r="AX39" i="1"/>
  <c r="AY20" i="1"/>
  <c r="AV20" i="1"/>
  <c r="AY19" i="1"/>
  <c r="AY18" i="1"/>
  <c r="AX17" i="1"/>
  <c r="AY16" i="1"/>
  <c r="AZ15" i="1"/>
  <c r="AZ40" i="1"/>
  <c r="AV40" i="1"/>
  <c r="AZ39" i="1"/>
  <c r="AV21" i="1"/>
  <c r="AX20" i="1"/>
  <c r="AU20" i="1"/>
  <c r="AV19" i="1"/>
  <c r="AX18" i="1"/>
  <c r="AZ17" i="1"/>
  <c r="AZ16" i="1"/>
  <c r="AY15" i="1"/>
  <c r="AX40" i="1"/>
  <c r="AZ20" i="1"/>
  <c r="AZ18" i="1"/>
  <c r="AW17" i="1"/>
  <c r="AX15" i="1"/>
  <c r="AW39" i="1"/>
  <c r="AV39" i="1"/>
  <c r="AU39" i="1"/>
  <c r="AZ38" i="1"/>
  <c r="AY38" i="1"/>
  <c r="AX38" i="1"/>
  <c r="AW38" i="1"/>
  <c r="AV38" i="1"/>
  <c r="AU38" i="1"/>
  <c r="AZ37" i="1"/>
  <c r="AY37" i="1"/>
  <c r="AX37" i="1"/>
  <c r="AW37" i="1"/>
  <c r="AV37" i="1"/>
  <c r="AU37" i="1"/>
  <c r="AZ36" i="1"/>
  <c r="AY36" i="1"/>
  <c r="AX36" i="1"/>
  <c r="AW36" i="1"/>
  <c r="AV36" i="1"/>
  <c r="AU36" i="1"/>
  <c r="AZ35" i="1"/>
  <c r="AY35" i="1"/>
  <c r="AX35" i="1"/>
  <c r="AW35" i="1"/>
  <c r="AV35" i="1"/>
  <c r="AU35" i="1"/>
  <c r="AZ34" i="1"/>
  <c r="AY34" i="1"/>
  <c r="AX34" i="1"/>
  <c r="AW34" i="1"/>
  <c r="AV34" i="1"/>
  <c r="AU34" i="1"/>
  <c r="AZ33" i="1"/>
  <c r="AY33" i="1"/>
  <c r="AX33" i="1"/>
  <c r="AW33" i="1"/>
  <c r="AV33" i="1"/>
  <c r="AU33" i="1"/>
  <c r="AZ32" i="1"/>
  <c r="AY32" i="1"/>
  <c r="AX32" i="1"/>
  <c r="AW32" i="1"/>
  <c r="AV32" i="1"/>
  <c r="AU32" i="1"/>
  <c r="AZ31" i="1"/>
  <c r="AY31" i="1"/>
  <c r="AX31" i="1"/>
  <c r="AW31" i="1"/>
  <c r="AV31" i="1"/>
  <c r="AU31" i="1"/>
  <c r="AZ30" i="1"/>
  <c r="AY30" i="1"/>
  <c r="AX30" i="1"/>
  <c r="AW30" i="1"/>
  <c r="AV30" i="1"/>
  <c r="AU30" i="1"/>
  <c r="AZ29" i="1"/>
  <c r="AY29" i="1"/>
  <c r="AX29" i="1"/>
  <c r="AW29" i="1"/>
  <c r="AV29" i="1"/>
  <c r="AU29" i="1"/>
  <c r="AZ28" i="1"/>
  <c r="AY28" i="1"/>
  <c r="AX28" i="1"/>
  <c r="AW28" i="1"/>
  <c r="AV28" i="1"/>
  <c r="AU28" i="1"/>
  <c r="AZ27" i="1"/>
  <c r="AY27" i="1"/>
  <c r="AX27" i="1"/>
  <c r="AW27" i="1"/>
  <c r="AV27" i="1"/>
  <c r="AU27" i="1"/>
  <c r="AZ26" i="1"/>
  <c r="AY26" i="1"/>
  <c r="AX26" i="1"/>
  <c r="AW26" i="1"/>
  <c r="AV26" i="1"/>
  <c r="AU26" i="1"/>
  <c r="AZ25" i="1"/>
  <c r="AY25" i="1"/>
  <c r="AX25" i="1"/>
  <c r="AW25" i="1"/>
  <c r="AV25" i="1"/>
  <c r="AU25" i="1"/>
  <c r="AZ24" i="1"/>
  <c r="AY24" i="1"/>
  <c r="AX24" i="1"/>
  <c r="AW24" i="1"/>
  <c r="AV24" i="1"/>
  <c r="AU24" i="1"/>
  <c r="AZ23" i="1"/>
  <c r="AY23" i="1"/>
  <c r="AX23" i="1"/>
  <c r="AW23" i="1"/>
  <c r="AV23" i="1"/>
  <c r="AU23" i="1"/>
  <c r="AZ22" i="1"/>
  <c r="AY22" i="1"/>
  <c r="AX22" i="1"/>
  <c r="AW22" i="1"/>
  <c r="AV22" i="1"/>
  <c r="AU22" i="1"/>
  <c r="AZ21" i="1"/>
  <c r="AY21" i="1"/>
  <c r="AX21" i="1"/>
  <c r="AW21" i="1"/>
  <c r="AU21" i="1"/>
  <c r="AW20" i="1"/>
  <c r="AZ19" i="1"/>
  <c r="AU19" i="1"/>
  <c r="AW18" i="1"/>
  <c r="AV17" i="1"/>
  <c r="AW16" i="1"/>
  <c r="AW15" i="1"/>
  <c r="AV15" i="1"/>
  <c r="AU15" i="1"/>
  <c r="AZ173" i="1"/>
  <c r="AT173" i="1"/>
  <c r="AY173" i="1"/>
  <c r="AS173" i="1"/>
  <c r="AX173" i="1"/>
  <c r="AR173" i="1"/>
  <c r="AW173" i="1"/>
  <c r="AQ173" i="1"/>
  <c r="AV173" i="1"/>
  <c r="AP173" i="1"/>
  <c r="AU173" i="1"/>
  <c r="AO173" i="1"/>
  <c r="AZ172" i="1"/>
  <c r="AT172" i="1"/>
  <c r="AY172" i="1"/>
  <c r="AS172" i="1"/>
  <c r="AX172" i="1"/>
  <c r="AR172" i="1"/>
  <c r="AW172" i="1"/>
  <c r="AQ172" i="1"/>
  <c r="AV172" i="1"/>
  <c r="AP172" i="1"/>
  <c r="AU172" i="1"/>
  <c r="AO172" i="1"/>
  <c r="AZ171" i="1"/>
  <c r="AT171" i="1"/>
  <c r="AY171" i="1"/>
  <c r="AS171" i="1"/>
  <c r="AX171" i="1"/>
  <c r="AR171" i="1"/>
  <c r="AW171" i="1"/>
  <c r="AQ171" i="1"/>
  <c r="AV171" i="1"/>
  <c r="AP171" i="1"/>
  <c r="AO171" i="1"/>
  <c r="AU171" i="1"/>
  <c r="AZ170" i="1"/>
  <c r="AT170" i="1"/>
  <c r="AS170" i="1"/>
  <c r="AY170" i="1"/>
  <c r="AR170" i="1"/>
  <c r="AX170" i="1"/>
  <c r="AQ170" i="1"/>
  <c r="AW170" i="1"/>
  <c r="AP170" i="1"/>
  <c r="AV170" i="1"/>
  <c r="AO170" i="1"/>
  <c r="AU170" i="1"/>
  <c r="AT169" i="1"/>
  <c r="AZ169" i="1"/>
  <c r="AS169" i="1"/>
  <c r="AY169" i="1"/>
  <c r="AX169" i="1"/>
  <c r="AR169" i="1"/>
  <c r="AW169" i="1"/>
  <c r="AQ169" i="1"/>
  <c r="AP169" i="1"/>
  <c r="AV169" i="1"/>
  <c r="AU169" i="1"/>
  <c r="AO169" i="1"/>
  <c r="AZ168" i="1"/>
  <c r="AT168" i="1"/>
  <c r="AY168" i="1"/>
  <c r="AS168" i="1"/>
  <c r="AR168" i="1"/>
  <c r="AX168" i="1"/>
  <c r="AW168" i="1"/>
  <c r="AQ168" i="1"/>
  <c r="AV168" i="1"/>
  <c r="AP168" i="1"/>
  <c r="AU168" i="1"/>
  <c r="AO168" i="1"/>
  <c r="AZ167" i="1"/>
  <c r="AT167" i="1"/>
  <c r="AY167" i="1"/>
  <c r="AS167" i="1"/>
  <c r="AX167" i="1"/>
  <c r="AR167" i="1"/>
  <c r="AW167" i="1"/>
  <c r="AQ167" i="1"/>
  <c r="AV167" i="1"/>
  <c r="AP167" i="1"/>
  <c r="AU167" i="1"/>
  <c r="AO167" i="1"/>
  <c r="AZ166" i="1"/>
  <c r="AT166" i="1"/>
  <c r="AY166" i="1"/>
  <c r="AS166" i="1"/>
  <c r="AX166" i="1"/>
  <c r="AR166" i="1"/>
  <c r="AW166" i="1"/>
  <c r="AQ166" i="1"/>
  <c r="AV166" i="1"/>
  <c r="AP166" i="1"/>
  <c r="AO166" i="1"/>
  <c r="AU166" i="1"/>
  <c r="AT165" i="1"/>
  <c r="AZ165" i="1"/>
  <c r="AS165" i="1"/>
  <c r="AY165" i="1"/>
  <c r="AX165" i="1"/>
  <c r="AR165" i="1"/>
  <c r="AQ165" i="1"/>
  <c r="AW165" i="1"/>
  <c r="AP165" i="1"/>
  <c r="AV165" i="1"/>
  <c r="AU165" i="1"/>
  <c r="AO165" i="1"/>
  <c r="AZ164" i="1"/>
  <c r="AT164" i="1"/>
  <c r="AY164" i="1"/>
  <c r="AS164" i="1"/>
  <c r="AX164" i="1"/>
  <c r="AR164" i="1"/>
  <c r="AW164" i="1"/>
  <c r="AQ164" i="1"/>
  <c r="AV164" i="1"/>
  <c r="AP164" i="1"/>
  <c r="AU164" i="1"/>
  <c r="AO164" i="1"/>
  <c r="AZ163" i="1"/>
  <c r="AT163" i="1"/>
  <c r="AY163" i="1"/>
  <c r="AS163" i="1"/>
  <c r="AX163" i="1"/>
  <c r="AR163" i="1"/>
  <c r="AW163" i="1"/>
  <c r="AQ163" i="1"/>
  <c r="AV163" i="1"/>
  <c r="AP163" i="1"/>
  <c r="AU163" i="1"/>
  <c r="AO163" i="1"/>
  <c r="AZ162" i="1"/>
  <c r="AT162" i="1"/>
  <c r="AY162" i="1"/>
  <c r="AS162" i="1"/>
  <c r="AX162" i="1"/>
  <c r="AR162" i="1"/>
  <c r="AW162" i="1"/>
  <c r="AQ162" i="1"/>
  <c r="AV162" i="1"/>
  <c r="AP162" i="1"/>
  <c r="AO162" i="1"/>
  <c r="AU162" i="1"/>
  <c r="AY125" i="1"/>
  <c r="AS125" i="1"/>
  <c r="AX125" i="1"/>
  <c r="AR125" i="1"/>
  <c r="AW125" i="1"/>
  <c r="AQ125" i="1"/>
  <c r="AV125" i="1"/>
  <c r="AP125" i="1"/>
  <c r="AU125" i="1"/>
  <c r="AO125" i="1"/>
  <c r="AZ124" i="1"/>
  <c r="AT124" i="1"/>
  <c r="AS124" i="1"/>
  <c r="AY124" i="1"/>
  <c r="AR124" i="1"/>
  <c r="AX124" i="1"/>
  <c r="AQ124" i="1"/>
  <c r="AW124" i="1"/>
  <c r="AV121" i="1"/>
  <c r="AP121" i="1"/>
  <c r="AO121" i="1"/>
  <c r="AU121" i="1"/>
  <c r="AT120" i="1"/>
  <c r="AZ120" i="1"/>
  <c r="AY120" i="1"/>
  <c r="AS120" i="1"/>
  <c r="AR120" i="1"/>
  <c r="AX120" i="1"/>
  <c r="AW120" i="1"/>
  <c r="AQ120" i="1"/>
  <c r="AV120" i="1"/>
  <c r="AP120" i="1"/>
  <c r="AO120" i="1"/>
  <c r="AU120" i="1"/>
  <c r="AZ119" i="1"/>
  <c r="AT119" i="1"/>
  <c r="AS119" i="1"/>
  <c r="AY119" i="1"/>
  <c r="AR119" i="1"/>
  <c r="AX119" i="1"/>
  <c r="AQ119" i="1"/>
  <c r="AW119" i="1"/>
  <c r="AV119" i="1"/>
  <c r="AP119" i="1"/>
  <c r="AO119" i="1"/>
  <c r="AU119" i="1"/>
  <c r="AT118" i="1"/>
  <c r="AZ118" i="1"/>
  <c r="AS118" i="1"/>
  <c r="AY118" i="1"/>
  <c r="AR118" i="1"/>
  <c r="AX118" i="1"/>
  <c r="AW118" i="1"/>
  <c r="AQ118" i="1"/>
  <c r="AV118" i="1"/>
  <c r="AP118" i="1"/>
  <c r="AU118" i="1"/>
  <c r="AO118" i="1"/>
  <c r="AT117" i="1"/>
  <c r="AZ117" i="1"/>
  <c r="AS117" i="1"/>
  <c r="AY117" i="1"/>
  <c r="AR117" i="1"/>
  <c r="AX117" i="1"/>
  <c r="AQ117" i="1"/>
  <c r="AW117" i="1"/>
  <c r="AP117" i="1"/>
  <c r="AV117" i="1"/>
  <c r="AU117" i="1"/>
  <c r="AO117" i="1"/>
  <c r="AT116" i="1"/>
  <c r="AZ116" i="1"/>
  <c r="AS116" i="1"/>
  <c r="AY116" i="1"/>
  <c r="AR116" i="1"/>
  <c r="AX116" i="1"/>
  <c r="AQ116" i="1"/>
  <c r="AW116" i="1"/>
  <c r="AP116" i="1"/>
  <c r="AV116" i="1"/>
  <c r="AO116" i="1"/>
  <c r="AU116" i="1"/>
  <c r="AT115" i="1"/>
  <c r="AZ115" i="1"/>
  <c r="AS115" i="1"/>
  <c r="AY115" i="1"/>
  <c r="AX115" i="1"/>
  <c r="AR115" i="1"/>
  <c r="AQ115" i="1"/>
  <c r="AW115" i="1"/>
  <c r="AV115" i="1"/>
  <c r="AP115" i="1"/>
  <c r="AU115" i="1"/>
  <c r="AO115" i="1"/>
  <c r="AZ114" i="1"/>
  <c r="AT114" i="1"/>
  <c r="AY114" i="1"/>
  <c r="AS114" i="1"/>
  <c r="AX114" i="1"/>
  <c r="AR114" i="1"/>
  <c r="AW114" i="1"/>
  <c r="AQ114" i="1"/>
  <c r="AV114" i="1"/>
  <c r="AP114" i="1"/>
  <c r="AU114" i="1"/>
  <c r="AO114" i="1"/>
  <c r="AZ113" i="1"/>
  <c r="AT113" i="1"/>
  <c r="AY113" i="1"/>
  <c r="AS113" i="1"/>
  <c r="AX113" i="1"/>
  <c r="AR113" i="1"/>
  <c r="AW113" i="1"/>
  <c r="AQ113" i="1"/>
  <c r="AV113" i="1"/>
  <c r="AP113" i="1"/>
  <c r="AU113" i="1"/>
  <c r="AO113" i="1"/>
  <c r="AZ112" i="1"/>
  <c r="AT112" i="1"/>
  <c r="AY112" i="1"/>
  <c r="AS112" i="1"/>
  <c r="AX112" i="1"/>
  <c r="AR112" i="1"/>
  <c r="AW112" i="1"/>
  <c r="AQ112" i="1"/>
  <c r="AV112" i="1"/>
  <c r="AP112" i="1"/>
  <c r="AO112" i="1"/>
  <c r="AU112" i="1"/>
  <c r="AZ111" i="1"/>
  <c r="AT111" i="1"/>
  <c r="AY111" i="1"/>
  <c r="AS111" i="1"/>
  <c r="AX111" i="1"/>
  <c r="AR111" i="1"/>
  <c r="AQ111" i="1"/>
  <c r="AW111" i="1"/>
  <c r="AP111" i="1"/>
  <c r="AV111" i="1"/>
  <c r="AU111" i="1"/>
  <c r="AO111" i="1"/>
  <c r="AT110" i="1"/>
  <c r="AZ110" i="1"/>
  <c r="AY110" i="1"/>
  <c r="AS110" i="1"/>
  <c r="AR110" i="1"/>
  <c r="AX110" i="1"/>
  <c r="AQ110" i="1"/>
  <c r="AW110" i="1"/>
  <c r="AP110" i="1"/>
  <c r="AV110" i="1"/>
  <c r="AU110" i="1"/>
  <c r="AO110" i="1"/>
  <c r="AZ109" i="1"/>
  <c r="AT109" i="1"/>
  <c r="AS109" i="1"/>
  <c r="AY109" i="1"/>
  <c r="AR109" i="1"/>
  <c r="AX109" i="1"/>
  <c r="AQ109" i="1"/>
  <c r="AW109" i="1"/>
  <c r="AP109" i="1"/>
  <c r="AV109" i="1"/>
  <c r="AO109" i="1"/>
  <c r="AU109" i="1"/>
  <c r="AT108" i="1"/>
  <c r="AZ108" i="1"/>
  <c r="AS108" i="1"/>
  <c r="AY108" i="1"/>
  <c r="AR108" i="1"/>
  <c r="AX108" i="1"/>
  <c r="AW108" i="1"/>
  <c r="AQ108" i="1"/>
  <c r="AV108" i="1"/>
  <c r="AP108" i="1"/>
  <c r="AO108" i="1"/>
  <c r="AU108" i="1"/>
  <c r="AZ107" i="1"/>
  <c r="AT107" i="1"/>
  <c r="AY107" i="1"/>
  <c r="AS107" i="1"/>
  <c r="AR107" i="1"/>
  <c r="AX107" i="1"/>
  <c r="AQ107" i="1"/>
  <c r="AW107" i="1"/>
  <c r="AP107" i="1"/>
  <c r="AV107" i="1"/>
  <c r="AU107" i="1"/>
  <c r="AO107" i="1"/>
  <c r="AZ106" i="1"/>
  <c r="AT106" i="1"/>
  <c r="AY106" i="1"/>
  <c r="AS106" i="1"/>
  <c r="AX106" i="1"/>
  <c r="AR106" i="1"/>
  <c r="AQ106" i="1"/>
  <c r="AW106" i="1"/>
  <c r="AP106" i="1"/>
  <c r="AV106" i="1"/>
  <c r="AO106" i="1"/>
  <c r="AU106" i="1"/>
  <c r="AT105" i="1"/>
  <c r="AZ105" i="1"/>
  <c r="AS105" i="1"/>
  <c r="AY105" i="1"/>
  <c r="AR105" i="1"/>
  <c r="AX105" i="1"/>
  <c r="AQ105" i="1"/>
  <c r="AW105" i="1"/>
  <c r="AP105" i="1"/>
  <c r="AV105" i="1"/>
  <c r="AO105" i="1"/>
  <c r="AU105" i="1"/>
  <c r="AT104" i="1"/>
  <c r="AZ104" i="1"/>
  <c r="AS104" i="1"/>
  <c r="AY104" i="1"/>
  <c r="AR104" i="1"/>
  <c r="AX104" i="1"/>
  <c r="AQ104" i="1"/>
  <c r="AW104" i="1"/>
  <c r="AP104" i="1"/>
  <c r="AV104" i="1"/>
  <c r="AU104" i="1"/>
  <c r="AO104" i="1"/>
  <c r="AZ103" i="1"/>
  <c r="AT103" i="1"/>
  <c r="AY103" i="1"/>
  <c r="AS103" i="1"/>
  <c r="AX103" i="1"/>
  <c r="AR103" i="1"/>
  <c r="AW103" i="1"/>
  <c r="AQ103" i="1"/>
  <c r="AV103" i="1"/>
  <c r="AP103" i="1"/>
  <c r="AO103" i="1"/>
  <c r="AU103" i="1"/>
  <c r="AT102" i="1"/>
  <c r="AZ102" i="1"/>
  <c r="AY102" i="1"/>
  <c r="AS102" i="1"/>
  <c r="AR102" i="1"/>
  <c r="AX102" i="1"/>
  <c r="AQ102" i="1"/>
  <c r="AW102" i="1"/>
  <c r="AV102" i="1"/>
  <c r="AP102" i="1"/>
  <c r="AU102" i="1"/>
  <c r="AO102" i="1"/>
  <c r="AT101" i="1"/>
  <c r="AZ101" i="1"/>
  <c r="AY101" i="1"/>
  <c r="AS101" i="1"/>
  <c r="AR101" i="1"/>
  <c r="AX101" i="1"/>
  <c r="AW101" i="1"/>
  <c r="AQ101" i="1"/>
  <c r="AV101" i="1"/>
  <c r="AP101" i="1"/>
  <c r="AU101" i="1"/>
  <c r="AO101" i="1"/>
  <c r="AZ100" i="1"/>
  <c r="AT100" i="1"/>
  <c r="AY100" i="1"/>
  <c r="AS100" i="1"/>
  <c r="AR100" i="1"/>
  <c r="AX100" i="1"/>
  <c r="AW100" i="1"/>
  <c r="AQ100" i="1"/>
  <c r="AV100" i="1"/>
  <c r="AP100" i="1"/>
  <c r="AO100" i="1"/>
  <c r="AU100" i="1"/>
  <c r="AT99" i="1"/>
  <c r="AZ99" i="1"/>
  <c r="AS99" i="1"/>
  <c r="AY99" i="1"/>
  <c r="AX99" i="1"/>
  <c r="AR99" i="1"/>
  <c r="AW99" i="1"/>
  <c r="AQ99" i="1"/>
  <c r="AP99" i="1"/>
  <c r="AV99" i="1"/>
  <c r="AU99" i="1"/>
  <c r="AO99" i="1"/>
  <c r="AT98" i="1"/>
  <c r="AZ98" i="1"/>
  <c r="AS98" i="1"/>
  <c r="AY98" i="1"/>
  <c r="AR98" i="1"/>
  <c r="AX98" i="1"/>
  <c r="AW98" i="1"/>
  <c r="AQ98" i="1"/>
  <c r="AV98" i="1"/>
  <c r="AP98" i="1"/>
  <c r="AO98" i="1"/>
  <c r="AU98" i="1"/>
  <c r="AZ97" i="1"/>
  <c r="AT97" i="1"/>
  <c r="AS97" i="1"/>
  <c r="AY97" i="1"/>
  <c r="AR97" i="1"/>
  <c r="AX97" i="1"/>
  <c r="AQ97" i="1"/>
  <c r="AW97" i="1"/>
  <c r="AP97" i="1"/>
  <c r="AV97" i="1"/>
  <c r="AU97" i="1"/>
  <c r="AO97" i="1"/>
  <c r="AZ96" i="1"/>
  <c r="AT96" i="1"/>
  <c r="AY96" i="1"/>
  <c r="AS96" i="1"/>
  <c r="AR96" i="1"/>
  <c r="AX96" i="1"/>
  <c r="AW96" i="1"/>
  <c r="AQ96" i="1"/>
  <c r="AV96" i="1"/>
  <c r="AP96" i="1"/>
  <c r="AU96" i="1"/>
  <c r="AO96" i="1"/>
  <c r="AZ95" i="1"/>
  <c r="AT95" i="1"/>
  <c r="AY95" i="1"/>
  <c r="AS95" i="1"/>
  <c r="AX95" i="1"/>
  <c r="AR95" i="1"/>
  <c r="AW95" i="1"/>
  <c r="AQ95" i="1"/>
  <c r="AV95" i="1"/>
  <c r="AP95" i="1"/>
  <c r="AO95" i="1"/>
  <c r="AU95" i="1"/>
  <c r="AZ94" i="1"/>
  <c r="AT94" i="1"/>
  <c r="AS94" i="1"/>
  <c r="AY94" i="1"/>
  <c r="AX94" i="1"/>
  <c r="AR94" i="1"/>
  <c r="AQ94" i="1"/>
  <c r="AW94" i="1"/>
  <c r="AV94" i="1"/>
  <c r="AP94" i="1"/>
  <c r="AO94" i="1"/>
  <c r="AU94" i="1"/>
  <c r="AZ93" i="1"/>
  <c r="AT93" i="1"/>
  <c r="AS93" i="1"/>
  <c r="AY93" i="1"/>
  <c r="AX93" i="1"/>
  <c r="AR93" i="1"/>
  <c r="AW93" i="1"/>
  <c r="AQ93" i="1"/>
  <c r="AV93" i="1"/>
  <c r="AP93" i="1"/>
  <c r="AO93" i="1"/>
  <c r="AU93" i="1"/>
  <c r="AZ92" i="1"/>
  <c r="AT92" i="1"/>
  <c r="AS92" i="1"/>
  <c r="AY92" i="1"/>
  <c r="AX92" i="1"/>
  <c r="AR92" i="1"/>
  <c r="AQ92" i="1"/>
  <c r="AW92" i="1"/>
  <c r="AV92" i="1"/>
  <c r="AP92" i="1"/>
  <c r="AO92" i="1"/>
  <c r="AU92" i="1"/>
  <c r="AZ91" i="1"/>
  <c r="AT91" i="1"/>
  <c r="AS91" i="1"/>
  <c r="AY91" i="1"/>
  <c r="AR91" i="1"/>
  <c r="AX91" i="1"/>
  <c r="AQ91" i="1"/>
  <c r="AW91" i="1"/>
  <c r="AV91" i="1"/>
  <c r="AP91" i="1"/>
  <c r="AO91" i="1"/>
  <c r="AU91" i="1"/>
  <c r="AT90" i="1"/>
  <c r="AZ90" i="1"/>
  <c r="AY90" i="1"/>
  <c r="AS90" i="1"/>
  <c r="AX90" i="1"/>
  <c r="AR90" i="1"/>
  <c r="AW90" i="1"/>
  <c r="AQ90" i="1"/>
  <c r="AV90" i="1"/>
  <c r="AP90" i="1"/>
  <c r="AO90" i="1"/>
  <c r="AU90" i="1"/>
  <c r="AT89" i="1"/>
  <c r="AZ89" i="1"/>
  <c r="AS89" i="1"/>
  <c r="AY89" i="1"/>
  <c r="AX89" i="1"/>
  <c r="AR89" i="1"/>
  <c r="AW89" i="1"/>
  <c r="AQ89" i="1"/>
  <c r="AV89" i="1"/>
  <c r="AP89" i="1"/>
  <c r="AU89" i="1"/>
  <c r="AO89" i="1"/>
  <c r="AT88" i="1"/>
  <c r="AZ88" i="1"/>
  <c r="AY88" i="1"/>
  <c r="AS88" i="1"/>
  <c r="AX88" i="1"/>
  <c r="AR88" i="1"/>
  <c r="AQ88" i="1"/>
  <c r="AW88" i="1"/>
  <c r="AP88" i="1"/>
  <c r="AV88" i="1"/>
  <c r="AO88" i="1"/>
  <c r="AU88" i="1"/>
  <c r="AT87" i="1"/>
  <c r="AZ87" i="1"/>
  <c r="AS87" i="1"/>
  <c r="AY87" i="1"/>
  <c r="AX87" i="1"/>
  <c r="AR87" i="1"/>
  <c r="AW87" i="1"/>
  <c r="AQ87" i="1"/>
  <c r="AV87" i="1"/>
  <c r="AP87" i="1"/>
  <c r="AU87" i="1"/>
  <c r="AO87" i="1"/>
  <c r="AZ86" i="1"/>
  <c r="AT86" i="1"/>
  <c r="AY86" i="1"/>
  <c r="AS86" i="1"/>
  <c r="AX86" i="1"/>
  <c r="AR86" i="1"/>
  <c r="AW86" i="1"/>
  <c r="AQ86" i="1"/>
  <c r="AV86" i="1"/>
  <c r="AP86" i="1"/>
  <c r="AU86" i="1"/>
  <c r="AO86" i="1"/>
  <c r="AZ85" i="1"/>
  <c r="AT85" i="1"/>
  <c r="AY85" i="1"/>
  <c r="AS85" i="1"/>
  <c r="AX85" i="1"/>
  <c r="AR85" i="1"/>
  <c r="AW85" i="1"/>
  <c r="AQ85" i="1"/>
  <c r="AV85" i="1"/>
  <c r="AP85" i="1"/>
  <c r="AU85" i="1"/>
  <c r="AO85" i="1"/>
  <c r="AT84" i="1"/>
  <c r="AZ84" i="1"/>
  <c r="AS84" i="1"/>
  <c r="AY84" i="1"/>
  <c r="AX84" i="1"/>
  <c r="AR84" i="1"/>
  <c r="AW84" i="1"/>
  <c r="AQ84" i="1"/>
  <c r="AV84" i="1"/>
  <c r="AP84" i="1"/>
  <c r="AU84" i="1"/>
  <c r="AO84" i="1"/>
  <c r="AZ83" i="1"/>
  <c r="AT83" i="1"/>
  <c r="AY83" i="1"/>
  <c r="AS83" i="1"/>
  <c r="AX83" i="1"/>
  <c r="AR83" i="1"/>
  <c r="AW83" i="1"/>
  <c r="AQ83" i="1"/>
  <c r="AP83" i="1"/>
  <c r="AV83" i="1"/>
  <c r="AU83" i="1"/>
  <c r="AO83" i="1"/>
  <c r="AZ82" i="1"/>
  <c r="AT82" i="1"/>
  <c r="AY82" i="1"/>
  <c r="AS82" i="1"/>
  <c r="AX82" i="1"/>
  <c r="AR82" i="1"/>
  <c r="AQ82" i="1"/>
  <c r="AW82" i="1"/>
  <c r="AV82" i="1"/>
  <c r="AP82" i="1"/>
  <c r="AU82" i="1"/>
  <c r="AO82" i="1"/>
  <c r="AX74" i="1"/>
  <c r="AR74" i="1"/>
  <c r="AW74" i="1"/>
  <c r="AQ74" i="1"/>
  <c r="AV74" i="1"/>
  <c r="AP74" i="1"/>
  <c r="AU74" i="1"/>
  <c r="AO74" i="1"/>
  <c r="AZ73" i="1"/>
  <c r="AT73" i="1"/>
  <c r="AY73" i="1"/>
  <c r="AS73" i="1"/>
  <c r="AX73" i="1"/>
  <c r="AR73" i="1"/>
  <c r="AW73" i="1"/>
  <c r="AQ73" i="1"/>
  <c r="AV73" i="1"/>
  <c r="AP73" i="1"/>
  <c r="AU73" i="1"/>
  <c r="AO73" i="1"/>
  <c r="AZ72" i="1"/>
  <c r="AT72" i="1"/>
  <c r="AY72" i="1"/>
  <c r="AS72" i="1"/>
  <c r="AX72" i="1"/>
  <c r="AR72" i="1"/>
  <c r="AW72" i="1"/>
  <c r="AQ72" i="1"/>
  <c r="AV72" i="1"/>
  <c r="AP72" i="1"/>
  <c r="AU72" i="1"/>
  <c r="AO72" i="1"/>
  <c r="AZ71" i="1"/>
  <c r="AT71" i="1"/>
  <c r="AY71" i="1"/>
  <c r="AS71" i="1"/>
  <c r="AX71" i="1"/>
  <c r="AR71" i="1"/>
  <c r="AW71" i="1"/>
  <c r="AQ71" i="1"/>
  <c r="AV71" i="1"/>
  <c r="AP71" i="1"/>
  <c r="AU71" i="1"/>
  <c r="AO71" i="1"/>
  <c r="AZ70" i="1"/>
  <c r="AT70" i="1"/>
  <c r="AY70" i="1"/>
  <c r="AS70" i="1"/>
  <c r="AX70" i="1"/>
  <c r="AR70" i="1"/>
  <c r="AW70" i="1"/>
  <c r="AQ70" i="1"/>
  <c r="AV70" i="1"/>
  <c r="AP70" i="1"/>
  <c r="AO70" i="1"/>
  <c r="AU70" i="1"/>
  <c r="AT69" i="1"/>
  <c r="AZ69" i="1"/>
  <c r="AS69" i="1"/>
  <c r="AY69" i="1"/>
  <c r="AX66" i="1"/>
  <c r="AR66" i="1"/>
  <c r="AQ66" i="1"/>
  <c r="AW66" i="1"/>
  <c r="AV66" i="1"/>
  <c r="AP66" i="1"/>
  <c r="AU66" i="1"/>
  <c r="AO66" i="1"/>
  <c r="AZ65" i="1"/>
  <c r="AT65" i="1"/>
  <c r="AY65" i="1"/>
  <c r="AS65" i="1"/>
  <c r="AX65" i="1"/>
  <c r="AR65" i="1"/>
  <c r="AW65" i="1"/>
  <c r="AQ65" i="1"/>
  <c r="AV65" i="1"/>
  <c r="AP65" i="1"/>
  <c r="AU65" i="1"/>
  <c r="AO65" i="1"/>
  <c r="AZ64" i="1"/>
  <c r="AT64" i="1"/>
  <c r="AY64" i="1"/>
  <c r="AS64" i="1"/>
  <c r="AX64" i="1"/>
  <c r="AR64" i="1"/>
  <c r="AQ64" i="1"/>
  <c r="AW64" i="1"/>
  <c r="AV64" i="1"/>
  <c r="AP64" i="1"/>
  <c r="AU64" i="1"/>
  <c r="AO64" i="1"/>
  <c r="AZ63" i="1"/>
  <c r="AT63" i="1"/>
  <c r="AS63" i="1"/>
  <c r="AY63" i="1"/>
  <c r="AR63" i="1"/>
  <c r="AX63" i="1"/>
  <c r="AQ63" i="1"/>
  <c r="AW63" i="1"/>
  <c r="AP63" i="1"/>
  <c r="AV63" i="1"/>
  <c r="AO63" i="1"/>
  <c r="AU63" i="1"/>
  <c r="AZ62" i="1"/>
  <c r="AT62" i="1"/>
  <c r="AS62" i="1"/>
  <c r="AY62" i="1"/>
  <c r="AR62" i="1"/>
  <c r="AX62" i="1"/>
  <c r="AQ62" i="1"/>
  <c r="AW62" i="1"/>
  <c r="AP62" i="1"/>
  <c r="AV62" i="1"/>
  <c r="AO62" i="1"/>
  <c r="AU62" i="1"/>
  <c r="AT61" i="1"/>
  <c r="AZ61" i="1"/>
  <c r="AY61" i="1"/>
  <c r="AS61" i="1"/>
  <c r="AR61" i="1"/>
  <c r="AX61" i="1"/>
  <c r="AQ61" i="1"/>
  <c r="AW61" i="1"/>
  <c r="AP61" i="1"/>
  <c r="AV61" i="1"/>
  <c r="AO61" i="1"/>
  <c r="AU61" i="1"/>
  <c r="AT60" i="1"/>
  <c r="AZ60" i="1"/>
  <c r="AS60" i="1"/>
  <c r="AY60" i="1"/>
  <c r="AR60" i="1"/>
  <c r="AX60" i="1"/>
  <c r="AW60" i="1"/>
  <c r="AQ60" i="1"/>
  <c r="AP60" i="1"/>
  <c r="AV60" i="1"/>
  <c r="AO60" i="1"/>
  <c r="AU60" i="1"/>
  <c r="AT59" i="1"/>
  <c r="AZ59" i="1"/>
  <c r="AS59" i="1"/>
  <c r="AY59" i="1"/>
  <c r="AR59" i="1"/>
  <c r="AX59" i="1"/>
  <c r="AQ59" i="1"/>
  <c r="AW59" i="1"/>
  <c r="AV59" i="1"/>
  <c r="AP59" i="1"/>
  <c r="AU59" i="1"/>
  <c r="AO59" i="1"/>
  <c r="AZ58" i="1"/>
  <c r="AT58" i="1"/>
  <c r="AY58" i="1"/>
  <c r="AS58" i="1"/>
  <c r="AX58" i="1"/>
  <c r="AR58" i="1"/>
  <c r="AW58" i="1"/>
  <c r="AQ58" i="1"/>
  <c r="AV58" i="1"/>
  <c r="AP58" i="1"/>
  <c r="AU58" i="1"/>
  <c r="AO58" i="1"/>
  <c r="AT57" i="1"/>
  <c r="AZ57" i="1"/>
  <c r="AS57" i="1"/>
  <c r="AY57" i="1"/>
  <c r="AX57" i="1"/>
  <c r="AR57" i="1"/>
  <c r="AQ57" i="1"/>
  <c r="AW57" i="1"/>
  <c r="AV57" i="1"/>
  <c r="AP57" i="1"/>
  <c r="AU57" i="1"/>
  <c r="AO57" i="1"/>
  <c r="AZ56" i="1"/>
  <c r="AT56" i="1"/>
  <c r="AY56" i="1"/>
  <c r="AS56" i="1"/>
  <c r="AX56" i="1"/>
  <c r="AR56" i="1"/>
  <c r="AW56" i="1"/>
  <c r="AQ56" i="1"/>
  <c r="AV56" i="1"/>
  <c r="AP56" i="1"/>
  <c r="AO56" i="1"/>
  <c r="AU56" i="1"/>
  <c r="AT55" i="1"/>
  <c r="AZ55" i="1"/>
  <c r="AS55" i="1"/>
  <c r="AY55" i="1"/>
  <c r="AR55" i="1"/>
  <c r="AX55" i="1"/>
  <c r="AQ55" i="1"/>
  <c r="AW55" i="1"/>
  <c r="AP55" i="1"/>
  <c r="AV55" i="1"/>
  <c r="AO55" i="1"/>
  <c r="AU55" i="1"/>
  <c r="AT54" i="1"/>
  <c r="AZ54" i="1"/>
  <c r="AS54" i="1"/>
  <c r="AY54" i="1"/>
  <c r="AX54" i="1"/>
  <c r="AR54" i="1"/>
  <c r="AW54" i="1"/>
  <c r="AQ54" i="1"/>
  <c r="AP54" i="1"/>
  <c r="AV54" i="1"/>
  <c r="AU54" i="1"/>
  <c r="AO54" i="1"/>
  <c r="AZ53" i="1"/>
  <c r="AT53" i="1"/>
  <c r="AY53" i="1"/>
  <c r="AS53" i="1"/>
  <c r="AX53" i="1"/>
  <c r="AR53" i="1"/>
  <c r="AW53" i="1"/>
  <c r="AQ53" i="1"/>
  <c r="AV53" i="1"/>
  <c r="AP53" i="1"/>
  <c r="AU53" i="1"/>
  <c r="AO53" i="1"/>
  <c r="AZ52" i="1"/>
  <c r="AT52" i="1"/>
  <c r="AS52" i="1"/>
  <c r="AY52" i="1"/>
  <c r="AX52" i="1"/>
  <c r="AR52" i="1"/>
  <c r="AQ52" i="1"/>
  <c r="AW52" i="1"/>
  <c r="AP52" i="1"/>
  <c r="AV52" i="1"/>
  <c r="AO52" i="1"/>
  <c r="AU52" i="1"/>
  <c r="AT51" i="1"/>
  <c r="AZ51" i="1"/>
  <c r="AS51" i="1"/>
  <c r="AY51" i="1"/>
  <c r="AX51" i="1"/>
  <c r="AR51" i="1"/>
  <c r="AW51" i="1"/>
  <c r="AQ51" i="1"/>
  <c r="AV51" i="1"/>
  <c r="AP51" i="1"/>
  <c r="AO51" i="1"/>
  <c r="AU51" i="1"/>
  <c r="AT50" i="1"/>
  <c r="AZ50" i="1"/>
  <c r="AY50" i="1"/>
  <c r="AS50" i="1"/>
  <c r="AX50" i="1"/>
  <c r="AR50" i="1"/>
  <c r="AW50" i="1"/>
  <c r="AQ50" i="1"/>
  <c r="AV50" i="1"/>
  <c r="AP50" i="1"/>
  <c r="AO50" i="1"/>
  <c r="AU50" i="1"/>
  <c r="AZ49" i="1"/>
  <c r="AT49" i="1"/>
  <c r="AS49" i="1"/>
  <c r="AY49" i="1"/>
  <c r="AR49" i="1"/>
  <c r="AX49" i="1"/>
  <c r="AQ49" i="1"/>
  <c r="AW49" i="1"/>
  <c r="AP49" i="1"/>
  <c r="AV49" i="1"/>
  <c r="AO49" i="1"/>
  <c r="AU49" i="1"/>
  <c r="AT48" i="1"/>
  <c r="AZ48" i="1"/>
  <c r="AS48" i="1"/>
  <c r="AY48" i="1"/>
  <c r="AR48" i="1"/>
  <c r="AX48" i="1"/>
  <c r="AQ48" i="1"/>
  <c r="AW48" i="1"/>
  <c r="AP48" i="1"/>
  <c r="AV48" i="1"/>
  <c r="AO48" i="1"/>
  <c r="AU48" i="1"/>
  <c r="AT47" i="1"/>
  <c r="AZ47" i="1"/>
  <c r="AY47" i="1"/>
  <c r="AS47" i="1"/>
  <c r="AR47" i="1"/>
  <c r="AX47" i="1"/>
  <c r="AQ47" i="1"/>
  <c r="AW47" i="1"/>
  <c r="AP47" i="1"/>
  <c r="AV47" i="1"/>
  <c r="AO47" i="1"/>
  <c r="AU47" i="1"/>
  <c r="AT46" i="1"/>
  <c r="AZ46" i="1"/>
  <c r="AS46" i="1"/>
  <c r="AY46" i="1"/>
  <c r="AR46" i="1"/>
  <c r="AX46" i="1"/>
  <c r="AQ46" i="1"/>
  <c r="AW46" i="1"/>
  <c r="AP46" i="1"/>
  <c r="AV46" i="1"/>
  <c r="AO46" i="1"/>
  <c r="AU46" i="1"/>
  <c r="AT45" i="1"/>
  <c r="AZ45" i="1"/>
  <c r="AS45" i="1"/>
  <c r="AY45" i="1"/>
  <c r="AR45" i="1"/>
  <c r="AX45" i="1"/>
  <c r="AQ45" i="1"/>
  <c r="AW45" i="1"/>
  <c r="AP45" i="1"/>
  <c r="AV45" i="1"/>
  <c r="AU45" i="1"/>
  <c r="AO45" i="1"/>
  <c r="AZ44" i="1"/>
  <c r="AT44" i="1"/>
  <c r="AS44" i="1"/>
  <c r="AY44" i="1"/>
  <c r="AR44" i="1"/>
  <c r="AX44" i="1"/>
  <c r="AQ44" i="1"/>
  <c r="AW44" i="1"/>
  <c r="AP44" i="1"/>
  <c r="AV44" i="1"/>
  <c r="AU44" i="1"/>
  <c r="AO44" i="1"/>
  <c r="AT43" i="1"/>
  <c r="AZ43" i="1"/>
  <c r="AY43" i="1"/>
  <c r="AS43" i="1"/>
  <c r="AX43" i="1"/>
  <c r="AR43" i="1"/>
  <c r="AW43" i="1"/>
  <c r="AQ43" i="1"/>
  <c r="AV43" i="1"/>
  <c r="AP43" i="1"/>
  <c r="AU43" i="1"/>
  <c r="AO43" i="1"/>
  <c r="AZ42" i="1"/>
  <c r="AT42" i="1"/>
  <c r="AY42" i="1"/>
  <c r="AS42" i="1"/>
  <c r="AX42" i="1"/>
  <c r="AR42" i="1"/>
  <c r="AW42" i="1"/>
  <c r="AQ42" i="1"/>
  <c r="AV42" i="1"/>
  <c r="AP42" i="1"/>
  <c r="AU42" i="1"/>
  <c r="AO42" i="1"/>
  <c r="AZ41" i="1"/>
  <c r="AT41" i="1"/>
  <c r="AS41" i="1"/>
  <c r="AY41" i="1"/>
  <c r="AR41" i="1"/>
  <c r="AX41" i="1"/>
  <c r="AQ41" i="1"/>
  <c r="AW41" i="1"/>
  <c r="AP41" i="1"/>
  <c r="AV41" i="1"/>
  <c r="AO41" i="1"/>
  <c r="AU41" i="1"/>
  <c r="AP124" i="1"/>
  <c r="AV124" i="1"/>
  <c r="AO124" i="1"/>
  <c r="AU124" i="1"/>
  <c r="AT123" i="1"/>
  <c r="AZ123" i="1"/>
  <c r="AY123" i="1"/>
  <c r="AS123" i="1"/>
  <c r="AR123" i="1"/>
  <c r="AX123" i="1"/>
  <c r="AW123" i="1"/>
  <c r="AQ123" i="1"/>
  <c r="AP123" i="1"/>
  <c r="AV123" i="1"/>
  <c r="AU123" i="1"/>
  <c r="AO123" i="1"/>
  <c r="AZ122" i="1"/>
  <c r="AT122" i="1"/>
  <c r="AY122" i="1"/>
  <c r="AS122" i="1"/>
  <c r="AX122" i="1"/>
  <c r="AR122" i="1"/>
  <c r="AW122" i="1"/>
  <c r="AQ122" i="1"/>
  <c r="AV122" i="1"/>
  <c r="AP122" i="1"/>
  <c r="AO122" i="1"/>
  <c r="AU122" i="1"/>
  <c r="AT121" i="1"/>
  <c r="AZ121" i="1"/>
  <c r="AS121" i="1"/>
  <c r="AY121" i="1"/>
  <c r="AR121" i="1"/>
  <c r="AX121" i="1"/>
  <c r="AQ121" i="1"/>
  <c r="AW121" i="1"/>
  <c r="AR69" i="1"/>
  <c r="AX69" i="1"/>
  <c r="AQ69" i="1"/>
  <c r="AW69" i="1"/>
  <c r="AP69" i="1"/>
  <c r="AV69" i="1"/>
  <c r="AU69" i="1"/>
  <c r="AO69" i="1"/>
  <c r="AT68" i="1"/>
  <c r="AZ68" i="1"/>
  <c r="AS68" i="1"/>
  <c r="AY68" i="1"/>
  <c r="AX68" i="1"/>
  <c r="AR68" i="1"/>
  <c r="AQ68" i="1"/>
  <c r="AW68" i="1"/>
  <c r="AP68" i="1"/>
  <c r="AV68" i="1"/>
  <c r="AO68" i="1"/>
  <c r="AU68" i="1"/>
  <c r="AT67" i="1"/>
  <c r="AZ67" i="1"/>
  <c r="AS67" i="1"/>
  <c r="AY67" i="1"/>
  <c r="AX67" i="1"/>
  <c r="AR67" i="1"/>
  <c r="AQ67" i="1"/>
  <c r="AW67" i="1"/>
  <c r="AV67" i="1"/>
  <c r="AP67" i="1"/>
  <c r="AU67" i="1"/>
  <c r="AO67" i="1"/>
  <c r="AZ66" i="1"/>
  <c r="AT66" i="1"/>
  <c r="AY66" i="1"/>
  <c r="AS66" i="1"/>
  <c r="AZ14" i="1"/>
  <c r="AT14" i="1"/>
  <c r="AY14" i="1"/>
  <c r="AS14" i="1"/>
  <c r="AX14" i="1"/>
  <c r="AR14" i="1"/>
  <c r="AW14" i="1"/>
  <c r="AQ14" i="1"/>
  <c r="AV14" i="1"/>
  <c r="AP14" i="1"/>
  <c r="AU14" i="1"/>
  <c r="AO14" i="1"/>
  <c r="AZ13" i="1"/>
  <c r="AT13" i="1"/>
  <c r="AY13" i="1"/>
  <c r="AS13" i="1"/>
  <c r="AX13" i="1"/>
  <c r="AR13" i="1"/>
  <c r="AW13" i="1"/>
  <c r="AQ13" i="1"/>
  <c r="AV13" i="1"/>
  <c r="AP13" i="1"/>
  <c r="AU13" i="1"/>
  <c r="AO13" i="1"/>
  <c r="AZ12" i="1"/>
  <c r="AT12" i="1"/>
  <c r="AY12" i="1"/>
  <c r="AS12" i="1"/>
  <c r="AX12" i="1"/>
  <c r="AR12" i="1"/>
  <c r="AW12" i="1"/>
  <c r="AQ12" i="1"/>
  <c r="AV12" i="1"/>
  <c r="AP12" i="1"/>
  <c r="AU12" i="1"/>
  <c r="AO12" i="1"/>
  <c r="AO175" i="1" l="1"/>
  <c r="AO176" i="1"/>
  <c r="AO177" i="1" s="1"/>
  <c r="AZ176" i="1"/>
  <c r="AZ175" i="1"/>
  <c r="AT176" i="1"/>
  <c r="AT175" i="1"/>
  <c r="AT177" i="1" s="1"/>
  <c r="AY176" i="1"/>
  <c r="AY175" i="1"/>
  <c r="AS175" i="1"/>
  <c r="AS176" i="1"/>
  <c r="AX175" i="1"/>
  <c r="AX176" i="1"/>
  <c r="AR175" i="1"/>
  <c r="AR176" i="1"/>
  <c r="AW175" i="1"/>
  <c r="AW176" i="1"/>
  <c r="AQ175" i="1"/>
  <c r="AQ176" i="1"/>
  <c r="AV175" i="1"/>
  <c r="AV176" i="1"/>
  <c r="AP176" i="1"/>
  <c r="AP175" i="1"/>
  <c r="AU175" i="1"/>
  <c r="AU176" i="1"/>
  <c r="AQ177" i="1" l="1"/>
  <c r="AZ180" i="1"/>
  <c r="AZ185" i="1"/>
  <c r="AZ177" i="1"/>
  <c r="AY180" i="1"/>
  <c r="AY185" i="1"/>
  <c r="AY177" i="1"/>
  <c r="AX180" i="1"/>
  <c r="AX185" i="1"/>
  <c r="AX177" i="1"/>
  <c r="AW180" i="1"/>
  <c r="AW185" i="1"/>
  <c r="AW177" i="1"/>
  <c r="AV180" i="1"/>
  <c r="AV185" i="1"/>
  <c r="AV177" i="1"/>
  <c r="AU180" i="1"/>
  <c r="AU185" i="1"/>
  <c r="AU177" i="1"/>
  <c r="AS177" i="1"/>
  <c r="AR177" i="1"/>
  <c r="AP177" i="1"/>
</calcChain>
</file>

<file path=xl/sharedStrings.xml><?xml version="1.0" encoding="utf-8"?>
<sst xmlns="http://schemas.openxmlformats.org/spreadsheetml/2006/main" count="323" uniqueCount="279">
  <si>
    <t>Each row refers to a specific network.</t>
  </si>
  <si>
    <t>Each column refers to a specific algorithm (set of hyperparameters + method).</t>
  </si>
  <si>
    <t>Each block of columns refers to a specific characteristic or measurement.</t>
  </si>
  <si>
    <t>(See details in legend below.)</t>
  </si>
  <si>
    <t>instName</t>
  </si>
  <si>
    <t>isSolved</t>
  </si>
  <si>
    <t>T-0.0001_ILP_flow</t>
  </si>
  <si>
    <t>T-0.0001_ILP_flow_strong</t>
  </si>
  <si>
    <t>r01.1</t>
  </si>
  <si>
    <t>r01.2</t>
  </si>
  <si>
    <t>r01.3</t>
  </si>
  <si>
    <t>r01.4</t>
  </si>
  <si>
    <t>r01.5</t>
  </si>
  <si>
    <t>r01.6</t>
  </si>
  <si>
    <t>r01.7</t>
  </si>
  <si>
    <t>r01.8</t>
  </si>
  <si>
    <t>r01.9</t>
  </si>
  <si>
    <t>r02.1</t>
  </si>
  <si>
    <t>r02.2</t>
  </si>
  <si>
    <t>r02.3</t>
  </si>
  <si>
    <t>r02.4</t>
  </si>
  <si>
    <t>r02.5</t>
  </si>
  <si>
    <t>r02.6</t>
  </si>
  <si>
    <t>r02.7</t>
  </si>
  <si>
    <t>r02.8</t>
  </si>
  <si>
    <t>r02.9</t>
  </si>
  <si>
    <t>r03.1</t>
  </si>
  <si>
    <t>r03.2</t>
  </si>
  <si>
    <t>r03.3</t>
  </si>
  <si>
    <t>r03.4</t>
  </si>
  <si>
    <t>r03.5</t>
  </si>
  <si>
    <t>r03.6</t>
  </si>
  <si>
    <t>r03.7</t>
  </si>
  <si>
    <t>r03.8</t>
  </si>
  <si>
    <t>r03.9</t>
  </si>
  <si>
    <t>r04.1</t>
  </si>
  <si>
    <t>r04.2</t>
  </si>
  <si>
    <t>r04.3</t>
  </si>
  <si>
    <t>r04.4</t>
  </si>
  <si>
    <t>r04.5</t>
  </si>
  <si>
    <t>r04.6</t>
  </si>
  <si>
    <t>r04.7</t>
  </si>
  <si>
    <t>r04.8</t>
  </si>
  <si>
    <t>r04.9</t>
  </si>
  <si>
    <t>r05.1</t>
  </si>
  <si>
    <t>r05.2</t>
  </si>
  <si>
    <t>r05.3</t>
  </si>
  <si>
    <t>r05.4</t>
  </si>
  <si>
    <t>r05.5</t>
  </si>
  <si>
    <t>r05.6</t>
  </si>
  <si>
    <t>r05.7</t>
  </si>
  <si>
    <t>r05.8</t>
  </si>
  <si>
    <t>r05.9</t>
  </si>
  <si>
    <t>r06.1</t>
  </si>
  <si>
    <t>r06.2</t>
  </si>
  <si>
    <t>r06.3</t>
  </si>
  <si>
    <t>r06.4</t>
  </si>
  <si>
    <t>r06.5</t>
  </si>
  <si>
    <t>r06.6</t>
  </si>
  <si>
    <t>r06.7</t>
  </si>
  <si>
    <t>r06.8</t>
  </si>
  <si>
    <t>r06.9</t>
  </si>
  <si>
    <t>r07.1</t>
  </si>
  <si>
    <t>r07.2</t>
  </si>
  <si>
    <t>r07.3</t>
  </si>
  <si>
    <t>r07.4</t>
  </si>
  <si>
    <t>r07.5</t>
  </si>
  <si>
    <t>r07.6</t>
  </si>
  <si>
    <t>r07.7</t>
  </si>
  <si>
    <t>r07.8</t>
  </si>
  <si>
    <t>r07.9</t>
  </si>
  <si>
    <t>r08.1</t>
  </si>
  <si>
    <t>r08.2</t>
  </si>
  <si>
    <t>r08.3</t>
  </si>
  <si>
    <t>r08.4</t>
  </si>
  <si>
    <t>r08.5</t>
  </si>
  <si>
    <t>r08.6</t>
  </si>
  <si>
    <t>r08.7</t>
  </si>
  <si>
    <t>r08.8</t>
  </si>
  <si>
    <t>r08.9</t>
  </si>
  <si>
    <t>r09.1</t>
  </si>
  <si>
    <t>r09.2</t>
  </si>
  <si>
    <t>r09.3</t>
  </si>
  <si>
    <t>r09.4</t>
  </si>
  <si>
    <t>r09.5</t>
  </si>
  <si>
    <t>r09.6</t>
  </si>
  <si>
    <t>r09.7</t>
  </si>
  <si>
    <t>r09.8</t>
  </si>
  <si>
    <t>r09.9</t>
  </si>
  <si>
    <t>r10.1</t>
  </si>
  <si>
    <t>r10.2</t>
  </si>
  <si>
    <t>r10.3</t>
  </si>
  <si>
    <t>r10.4</t>
  </si>
  <si>
    <t>r10.5</t>
  </si>
  <si>
    <t>r10.6</t>
  </si>
  <si>
    <t>r10.7</t>
  </si>
  <si>
    <t>r10.8</t>
  </si>
  <si>
    <t>r10.9</t>
  </si>
  <si>
    <t>r11.1</t>
  </si>
  <si>
    <t>r11.2</t>
  </si>
  <si>
    <t>r11.3</t>
  </si>
  <si>
    <t>r11.4</t>
  </si>
  <si>
    <t>r11.5</t>
  </si>
  <si>
    <t>r11.6</t>
  </si>
  <si>
    <t>r11.7</t>
  </si>
  <si>
    <t>r11.8</t>
  </si>
  <si>
    <t>r11.9</t>
  </si>
  <si>
    <t>r12.1</t>
  </si>
  <si>
    <t>r12.2</t>
  </si>
  <si>
    <t>r12.3</t>
  </si>
  <si>
    <t>r12.4</t>
  </si>
  <si>
    <t>r12.5</t>
  </si>
  <si>
    <t>r12.6</t>
  </si>
  <si>
    <t>r12.7</t>
  </si>
  <si>
    <t>r12.8</t>
  </si>
  <si>
    <t>r12.9</t>
  </si>
  <si>
    <t>r13.1</t>
  </si>
  <si>
    <t>r13.2</t>
  </si>
  <si>
    <t>r13.3</t>
  </si>
  <si>
    <t>r13.4</t>
  </si>
  <si>
    <t>r13.5</t>
  </si>
  <si>
    <t>r13.6</t>
  </si>
  <si>
    <t>r13.7</t>
  </si>
  <si>
    <t>r13.8</t>
  </si>
  <si>
    <t>r13.9</t>
  </si>
  <si>
    <t>r14.1</t>
  </si>
  <si>
    <t>r14.2</t>
  </si>
  <si>
    <t>r14.3</t>
  </si>
  <si>
    <t>r14.4</t>
  </si>
  <si>
    <t>r14.5</t>
  </si>
  <si>
    <t>r14.6</t>
  </si>
  <si>
    <t>r14.7</t>
  </si>
  <si>
    <t>r14.8</t>
  </si>
  <si>
    <t>r14.9</t>
  </si>
  <si>
    <t>r15.1</t>
  </si>
  <si>
    <t>r15.2</t>
  </si>
  <si>
    <t>r15.3</t>
  </si>
  <si>
    <t>r15.4</t>
  </si>
  <si>
    <t>r15.5</t>
  </si>
  <si>
    <t>r15.6</t>
  </si>
  <si>
    <t>r15.7</t>
  </si>
  <si>
    <t>r15.8</t>
  </si>
  <si>
    <t>r15.9</t>
  </si>
  <si>
    <t>r16.1</t>
  </si>
  <si>
    <t>r16.2</t>
  </si>
  <si>
    <t>r16.3</t>
  </si>
  <si>
    <t>r16.4</t>
  </si>
  <si>
    <t>r16.5</t>
  </si>
  <si>
    <t>r16.6</t>
  </si>
  <si>
    <t>r16.7</t>
  </si>
  <si>
    <t>r16.8</t>
  </si>
  <si>
    <t>r16.9</t>
  </si>
  <si>
    <t>r17.1</t>
  </si>
  <si>
    <t>r17.2</t>
  </si>
  <si>
    <t>r17.3</t>
  </si>
  <si>
    <t>r17.4</t>
  </si>
  <si>
    <t>r17.5</t>
  </si>
  <si>
    <t>r17.6</t>
  </si>
  <si>
    <t>r17.7</t>
  </si>
  <si>
    <t>r17.8</t>
  </si>
  <si>
    <t>r17.9</t>
  </si>
  <si>
    <t>r18.1</t>
  </si>
  <si>
    <t>r18.2</t>
  </si>
  <si>
    <t>r18.3</t>
  </si>
  <si>
    <t>r18.4</t>
  </si>
  <si>
    <t>r18.5</t>
  </si>
  <si>
    <t>r18.6</t>
  </si>
  <si>
    <t>r18.7</t>
  </si>
  <si>
    <t>r18.8</t>
  </si>
  <si>
    <t>r18.9</t>
  </si>
  <si>
    <t>Legend</t>
  </si>
  <si>
    <t>1 Details of characteristics and measurements</t>
  </si>
  <si>
    <t>instName:</t>
  </si>
  <si>
    <t>network identifier</t>
  </si>
  <si>
    <t>isSolved:</t>
  </si>
  <si>
    <t>1 if valid solution found before time limit, 0 if valid uprBd and lwrBd were found but solution process interrupted by time limit, -1 if (i) missing or invalid (usually because process failed to find a feasible integral first stage solution or if (ii) lwrBd == -1 or if (iii) uprBd == -1, -99 if solution process crashed</t>
  </si>
  <si>
    <t>totTime:</t>
  </si>
  <si>
    <t>total time at exit, -1 if invalid or missing, -99 if solution process crashed</t>
  </si>
  <si>
    <t>uprBd:</t>
  </si>
  <si>
    <t>upper bound, -1 if invalid, missing or smaller than lower bound produced by direct ILP solution, -99 if solution process crashed</t>
  </si>
  <si>
    <t>lwrBd:</t>
  </si>
  <si>
    <t>lower bound, -1 if invalid, missing or greater than upper bound produced by direct ILP solution, -99 if solution process crashed</t>
  </si>
  <si>
    <t>relGap:</t>
  </si>
  <si>
    <t>relative gap, -1 if invalid or missing, -99 if solution process crashed</t>
  </si>
  <si>
    <t>nbAllNodes:</t>
  </si>
  <si>
    <t>number of nodes generated, -1 if invalid or missing, -99 if solution process crashed</t>
  </si>
  <si>
    <t>nbSubp:</t>
  </si>
  <si>
    <t>number of cut generating subproblems examined, -1 if invalid or missing, -99 if solution process crashed</t>
  </si>
  <si>
    <t>nbFeasCuts:</t>
  </si>
  <si>
    <t>number of feasibility cuts genreated, -1 if invalid or missing, -99 if solution process crashed</t>
  </si>
  <si>
    <t>nbOptCuts:</t>
  </si>
  <si>
    <t>number of optimality cuts generated, -1 if invalid or missing, -99 if solution process crashed</t>
  </si>
  <si>
    <t>nbPosFeasSubp:</t>
  </si>
  <si>
    <t>number of feasible cut generating subproblems with positive value, -1 if invalid or missing, -99 if solution process crashed</t>
  </si>
  <si>
    <t>nbNegFeasSubp:</t>
  </si>
  <si>
    <t>number of feasible cut generating subproblems with negative value, -1 if invalid or missing, -99 if solution process crashed</t>
  </si>
  <si>
    <t>nbNullFeasSubp:</t>
  </si>
  <si>
    <t>number of feasible cut generating subproblems with null value, -1 if invalid or missing, -99 if solution process crashed</t>
  </si>
  <si>
    <t>nbInfeasSp:</t>
  </si>
  <si>
    <t>number of infeasible cut generating subproblems, -1 if invalid or missing, -99 if solution process crashed</t>
  </si>
  <si>
    <t>nbPosUnbdSubp:</t>
  </si>
  <si>
    <t>number of positively unbounded cut generating subproblems, -1 if invalid or missing, -99 if solution process crashed</t>
  </si>
  <si>
    <t>nbNegUnbdSubp:</t>
  </si>
  <si>
    <t>number of negatively unbounded cut generating subproblems, -1 if invalid or missing, -99 if solution process crashed</t>
  </si>
  <si>
    <t>totTimeSubp:</t>
  </si>
  <si>
    <t>sum of times spent in cut generating subproblems, -1 if invalid or missing, -99 if solution process crashed</t>
  </si>
  <si>
    <t>totTimeSqrSubp:</t>
  </si>
  <si>
    <t>sum of squared times spent in cut generating subproblems, -1 if invalid or missing, -99 if solution process crashed</t>
  </si>
  <si>
    <t>maxRssMem:</t>
  </si>
  <si>
    <t>maximum resident memory size, -1 if invalid or missing, -99 if solution process crashed</t>
  </si>
  <si>
    <t>maxVmsMem:</t>
  </si>
  <si>
    <t>maximum virtual memory size, -1 if invalid or missing, -99 if solution process crashed</t>
  </si>
  <si>
    <t>2 Details of methods</t>
  </si>
  <si>
    <t>2.1 Hyperparameters</t>
  </si>
  <si>
    <t>T:</t>
  </si>
  <si>
    <t>relative gap tolerance</t>
  </si>
  <si>
    <t>F:</t>
  </si>
  <si>
    <t>inclusion of strong constraints (in a Benders method)</t>
  </si>
  <si>
    <t>U:</t>
  </si>
  <si>
    <t>no inversion between normalization and objective (Fisch and statBS)</t>
  </si>
  <si>
    <t>G:</t>
  </si>
  <si>
    <t>relative gap required from Fisch in initial step of adaptBS or Glomb</t>
  </si>
  <si>
    <t>M:</t>
  </si>
  <si>
    <t>number of feasible integer solutions required from Fisch in initial step of adaptBS</t>
  </si>
  <si>
    <t>E:</t>
  </si>
  <si>
    <t>computation procedure of reference point in Seo (2: relaxed solution once initially, 4: relaxed solution at every callback)</t>
  </si>
  <si>
    <t>R:</t>
  </si>
  <si>
    <t>metric involved in HT (0: L_inf, 1: L_1, 2: upper bound on L_1)</t>
  </si>
  <si>
    <t>P:</t>
  </si>
  <si>
    <t>common value of all elements in initial reference point in MW and Papa</t>
  </si>
  <si>
    <t>L:</t>
  </si>
  <si>
    <t>mixing weight applied when updating reference point in MW and Papa</t>
  </si>
  <si>
    <t>H:</t>
  </si>
  <si>
    <t>mixing weight applied when updating reference point in Glomb</t>
  </si>
  <si>
    <t>2.2 Algorithmic families</t>
  </si>
  <si>
    <t>ILP_flow:</t>
  </si>
  <si>
    <t>brute force ILP</t>
  </si>
  <si>
    <t>ILP_flow_strong:</t>
  </si>
  <si>
    <t>brute force ILP with inclusion of strong constraints</t>
  </si>
  <si>
    <t>Std:</t>
  </si>
  <si>
    <t>standard Benders</t>
  </si>
  <si>
    <t>Std_Decomp:</t>
  </si>
  <si>
    <t>Benders with flow decomposition of subproblems</t>
  </si>
  <si>
    <t>Fisch:</t>
  </si>
  <si>
    <t>Fischetti et al.</t>
  </si>
  <si>
    <t>StatBS:</t>
  </si>
  <si>
    <t>static Brandenberg-Stursberg</t>
  </si>
  <si>
    <t>AdaptBS:</t>
  </si>
  <si>
    <t>adaptive Brandenberg-Stursberg</t>
  </si>
  <si>
    <t>Seo:</t>
  </si>
  <si>
    <t>Seo et al.</t>
  </si>
  <si>
    <t>HT:</t>
  </si>
  <si>
    <t>Hosseini-Turner</t>
  </si>
  <si>
    <t>MW:</t>
  </si>
  <si>
    <t>Magnanti-Wong</t>
  </si>
  <si>
    <t>Papa:</t>
  </si>
  <si>
    <t>Papadakos</t>
  </si>
  <si>
    <t>Glomb:</t>
  </si>
  <si>
    <t>Glomb</t>
  </si>
  <si>
    <t>F_T-0.0001_StatBS</t>
  </si>
  <si>
    <t>F_U_T-0.0001_StatBS</t>
  </si>
  <si>
    <t>F_R-1_T-0.0001_HT</t>
  </si>
  <si>
    <t>F_R-2_T-0.0001_HT</t>
  </si>
  <si>
    <t>bdcomp_sheet_GRB_all_Std_cautious_Papa_rev_algo_05-05-2026_13-11-44</t>
  </si>
  <si>
    <t>bdcomp_sheet_CPX_all_completed_21-06-2026_17-06-38</t>
  </si>
  <si>
    <t>sum:</t>
  </si>
  <si>
    <t>count:</t>
  </si>
  <si>
    <t>avg:</t>
  </si>
  <si>
    <t>Relative differences between sums of totTimes for GRB and CPX 
over all instances that have non NA times for both GRB and CPX
and that have totTimes &lt; 36000 for both GRB and CPX.
(CPX-GRB)/GRB</t>
  </si>
  <si>
    <t>Ratios between sums of totTimes for GRB and CPX 
over all instances that have non NA times for both GRB and CPX
and that have totTimes &lt; 36000 for both GRB and CPX.
CPX/GRB</t>
  </si>
  <si>
    <t>totTime (raw)</t>
  </si>
  <si>
    <t>totTime valid (set to #NA if isSolved &lt; 0)</t>
  </si>
  <si>
    <t>totTime valid  (set to #NA if isSolved &lt; 0)</t>
  </si>
  <si>
    <t>GRB totTime if (GRB and CPX valid, GRB &lt; 36000 and CPX &lt;36000), #NA otherwise</t>
  </si>
  <si>
    <t>CPX totTime if GRB and CPX valid, GRB &lt; 36000 and CPX &lt;36000), #NA otherwise</t>
  </si>
  <si>
    <t>Gurobi and CPLEX computation times are compared for a selection of methods (see results in lower right corner)</t>
  </si>
  <si>
    <t>(copy of bdcomp_compare-times_GRB-CPX_29Jun2026-17h42.xlsx)</t>
  </si>
  <si>
    <t>A:</t>
  </si>
  <si>
    <t>also add a standard optimality cut whenever a MW optimality cut is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</si>
</sst>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530B-DF2D-450D-A712-A8BFA6251D06}">
  <dimension ref="A1:AZ228"/>
  <sheetViews>
    <sheetView tabSelected="1" topLeftCell="A202" workbookViewId="0">
      <selection activeCell="A214" sqref="A214:XFD214"/>
    </sheetView>
  </sheetViews>
  <sheetFormatPr defaultRowHeight="14.4" x14ac:dyDescent="0.3"/>
  <cols>
    <col min="1" max="1" width="43.6640625" customWidth="1"/>
    <col min="2" max="2" width="26.21875" customWidth="1"/>
    <col min="3" max="3" width="16.44140625" bestFit="1" customWidth="1"/>
    <col min="4" max="4" width="22.77734375" bestFit="1" customWidth="1"/>
    <col min="5" max="5" width="16.44140625" bestFit="1" customWidth="1"/>
    <col min="6" max="6" width="18.88671875" bestFit="1" customWidth="1"/>
    <col min="7" max="8" width="17.33203125" bestFit="1" customWidth="1"/>
    <col min="9" max="9" width="16.44140625" bestFit="1" customWidth="1"/>
    <col min="10" max="10" width="22.77734375" bestFit="1" customWidth="1"/>
    <col min="11" max="11" width="16.44140625" bestFit="1" customWidth="1"/>
    <col min="12" max="12" width="18.88671875" bestFit="1" customWidth="1"/>
    <col min="13" max="14" width="17.33203125" bestFit="1" customWidth="1"/>
    <col min="15" max="20" width="17.33203125" customWidth="1"/>
    <col min="22" max="22" width="16.44140625" bestFit="1" customWidth="1"/>
    <col min="23" max="23" width="22.77734375" bestFit="1" customWidth="1"/>
    <col min="24" max="24" width="16.44140625" bestFit="1" customWidth="1"/>
    <col min="25" max="25" width="18.88671875" bestFit="1" customWidth="1"/>
    <col min="26" max="27" width="17.33203125" bestFit="1" customWidth="1"/>
    <col min="28" max="28" width="16.44140625" bestFit="1" customWidth="1"/>
    <col min="29" max="29" width="22.77734375" bestFit="1" customWidth="1"/>
    <col min="30" max="30" width="16.44140625" bestFit="1" customWidth="1"/>
    <col min="31" max="31" width="18.88671875" bestFit="1" customWidth="1"/>
    <col min="32" max="33" width="17.33203125" bestFit="1" customWidth="1"/>
    <col min="41" max="46" width="20" customWidth="1"/>
    <col min="47" max="52" width="18.109375" customWidth="1"/>
  </cols>
  <sheetData>
    <row r="1" spans="1:52" x14ac:dyDescent="0.3">
      <c r="A1" t="s">
        <v>276</v>
      </c>
    </row>
    <row r="3" spans="1:52" x14ac:dyDescent="0.3">
      <c r="A3" t="s">
        <v>275</v>
      </c>
    </row>
    <row r="5" spans="1:52" x14ac:dyDescent="0.3">
      <c r="A5" t="s">
        <v>0</v>
      </c>
    </row>
    <row r="6" spans="1:52" x14ac:dyDescent="0.3">
      <c r="A6" t="s">
        <v>1</v>
      </c>
    </row>
    <row r="7" spans="1:52" x14ac:dyDescent="0.3">
      <c r="A7" t="s">
        <v>2</v>
      </c>
    </row>
    <row r="8" spans="1:52" x14ac:dyDescent="0.3">
      <c r="A8" t="s">
        <v>3</v>
      </c>
    </row>
    <row r="9" spans="1:52" x14ac:dyDescent="0.3">
      <c r="C9" s="1" t="s">
        <v>263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1" t="s">
        <v>264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52" x14ac:dyDescent="0.3">
      <c r="A10" t="s">
        <v>4</v>
      </c>
      <c r="C10" t="s">
        <v>5</v>
      </c>
      <c r="I10" t="s">
        <v>270</v>
      </c>
      <c r="O10" t="s">
        <v>271</v>
      </c>
      <c r="V10" t="s">
        <v>5</v>
      </c>
      <c r="AB10" t="s">
        <v>270</v>
      </c>
      <c r="AH10" t="s">
        <v>272</v>
      </c>
      <c r="AO10" s="1" t="s">
        <v>273</v>
      </c>
      <c r="AP10" s="1"/>
      <c r="AQ10" s="1"/>
      <c r="AR10" s="1"/>
      <c r="AS10" s="1"/>
      <c r="AT10" s="1"/>
      <c r="AU10" s="1" t="s">
        <v>274</v>
      </c>
      <c r="AV10" s="1"/>
      <c r="AW10" s="1"/>
      <c r="AX10" s="1"/>
      <c r="AY10" s="1"/>
      <c r="AZ10" s="1"/>
    </row>
    <row r="11" spans="1:52" x14ac:dyDescent="0.3">
      <c r="C11" t="s">
        <v>6</v>
      </c>
      <c r="D11" t="s">
        <v>7</v>
      </c>
      <c r="E11" t="s">
        <v>259</v>
      </c>
      <c r="F11" t="s">
        <v>260</v>
      </c>
      <c r="G11" t="s">
        <v>261</v>
      </c>
      <c r="H11" t="s">
        <v>262</v>
      </c>
      <c r="I11" t="s">
        <v>6</v>
      </c>
      <c r="J11" t="s">
        <v>7</v>
      </c>
      <c r="K11" t="s">
        <v>259</v>
      </c>
      <c r="L11" t="s">
        <v>260</v>
      </c>
      <c r="M11" t="s">
        <v>261</v>
      </c>
      <c r="N11" t="s">
        <v>262</v>
      </c>
      <c r="O11" t="s">
        <v>6</v>
      </c>
      <c r="P11" t="s">
        <v>7</v>
      </c>
      <c r="Q11" t="s">
        <v>259</v>
      </c>
      <c r="R11" t="s">
        <v>260</v>
      </c>
      <c r="S11" t="s">
        <v>261</v>
      </c>
      <c r="T11" t="s">
        <v>262</v>
      </c>
      <c r="V11" t="s">
        <v>6</v>
      </c>
      <c r="W11" t="s">
        <v>7</v>
      </c>
      <c r="X11" t="s">
        <v>259</v>
      </c>
      <c r="Y11" t="s">
        <v>260</v>
      </c>
      <c r="Z11" t="s">
        <v>261</v>
      </c>
      <c r="AA11" t="s">
        <v>262</v>
      </c>
      <c r="AB11" t="s">
        <v>6</v>
      </c>
      <c r="AC11" t="s">
        <v>7</v>
      </c>
      <c r="AD11" t="s">
        <v>259</v>
      </c>
      <c r="AE11" t="s">
        <v>260</v>
      </c>
      <c r="AF11" t="s">
        <v>261</v>
      </c>
      <c r="AG11" t="s">
        <v>262</v>
      </c>
      <c r="AH11" t="s">
        <v>6</v>
      </c>
      <c r="AI11" t="s">
        <v>7</v>
      </c>
      <c r="AJ11" t="s">
        <v>259</v>
      </c>
      <c r="AK11" t="s">
        <v>260</v>
      </c>
      <c r="AL11" t="s">
        <v>261</v>
      </c>
      <c r="AM11" t="s">
        <v>262</v>
      </c>
      <c r="AO11" t="s">
        <v>6</v>
      </c>
      <c r="AP11" t="s">
        <v>7</v>
      </c>
      <c r="AQ11" t="s">
        <v>259</v>
      </c>
      <c r="AR11" t="s">
        <v>260</v>
      </c>
      <c r="AS11" t="s">
        <v>261</v>
      </c>
      <c r="AT11" t="s">
        <v>262</v>
      </c>
      <c r="AU11" t="s">
        <v>6</v>
      </c>
      <c r="AV11" t="s">
        <v>7</v>
      </c>
      <c r="AW11" t="s">
        <v>259</v>
      </c>
      <c r="AX11" t="s">
        <v>260</v>
      </c>
      <c r="AY11" t="s">
        <v>261</v>
      </c>
      <c r="AZ11" t="s">
        <v>262</v>
      </c>
    </row>
    <row r="12" spans="1:52" x14ac:dyDescent="0.3">
      <c r="A12" t="s">
        <v>8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0.01</v>
      </c>
      <c r="J12">
        <v>0</v>
      </c>
      <c r="K12">
        <v>0.03</v>
      </c>
      <c r="L12">
        <v>0.05</v>
      </c>
      <c r="M12">
        <v>0.03</v>
      </c>
      <c r="N12">
        <v>0.03</v>
      </c>
      <c r="O12">
        <f>IF(C12&lt;0,NA(),I12)</f>
        <v>0.01</v>
      </c>
      <c r="P12">
        <f t="shared" ref="P12:T12" si="0">IF(D12&lt;0,NA(),J12)</f>
        <v>0</v>
      </c>
      <c r="Q12">
        <f t="shared" si="0"/>
        <v>0.03</v>
      </c>
      <c r="R12">
        <f t="shared" si="0"/>
        <v>0.05</v>
      </c>
      <c r="S12">
        <f t="shared" si="0"/>
        <v>0.03</v>
      </c>
      <c r="T12">
        <f t="shared" si="0"/>
        <v>0.03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0.02</v>
      </c>
      <c r="AC12">
        <v>0.02</v>
      </c>
      <c r="AD12">
        <v>0.02</v>
      </c>
      <c r="AE12">
        <v>0.02</v>
      </c>
      <c r="AF12">
        <v>0.02</v>
      </c>
      <c r="AG12">
        <v>0.02</v>
      </c>
      <c r="AH12">
        <f>IF(V12&lt;0,NA(),AB12)</f>
        <v>0.02</v>
      </c>
      <c r="AI12">
        <f t="shared" ref="AI12:AM12" si="1">IF(W12&lt;0,NA(),AC12)</f>
        <v>0.02</v>
      </c>
      <c r="AJ12">
        <f t="shared" si="1"/>
        <v>0.02</v>
      </c>
      <c r="AK12">
        <f t="shared" si="1"/>
        <v>0.02</v>
      </c>
      <c r="AL12">
        <f t="shared" si="1"/>
        <v>0.02</v>
      </c>
      <c r="AM12">
        <f t="shared" si="1"/>
        <v>0.02</v>
      </c>
      <c r="AO12">
        <f>IF(OR(ISNA(O12),ISNA(AH12),AND(O12=36000,AH12=36000)),NA(), O12)</f>
        <v>0.01</v>
      </c>
      <c r="AP12">
        <f t="shared" ref="AP12:AT12" si="2">IF(OR(ISNA(P12),ISNA(AI12),AND(P12=36000,AI12=36000)),NA(), P12)</f>
        <v>0</v>
      </c>
      <c r="AQ12">
        <f t="shared" si="2"/>
        <v>0.03</v>
      </c>
      <c r="AR12">
        <f t="shared" si="2"/>
        <v>0.05</v>
      </c>
      <c r="AS12">
        <f t="shared" si="2"/>
        <v>0.03</v>
      </c>
      <c r="AT12">
        <f t="shared" si="2"/>
        <v>0.03</v>
      </c>
      <c r="AU12">
        <f>IF(OR(ISNA(O12),ISNA(AH12),AND(O12=36000,AH12=36000)),NA(), AH12)</f>
        <v>0.02</v>
      </c>
      <c r="AV12">
        <f t="shared" ref="AV12:AZ12" si="3">IF(OR(ISNA(P12),ISNA(AI12),AND(P12=36000,AI12=36000)),NA(), AI12)</f>
        <v>0.02</v>
      </c>
      <c r="AW12">
        <f t="shared" si="3"/>
        <v>0.02</v>
      </c>
      <c r="AX12">
        <f t="shared" si="3"/>
        <v>0.02</v>
      </c>
      <c r="AY12">
        <f t="shared" si="3"/>
        <v>0.02</v>
      </c>
      <c r="AZ12">
        <f t="shared" si="3"/>
        <v>0.02</v>
      </c>
    </row>
    <row r="13" spans="1:52" x14ac:dyDescent="0.3">
      <c r="A13" t="s">
        <v>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0.01</v>
      </c>
      <c r="J13">
        <v>0</v>
      </c>
      <c r="K13">
        <v>0.08</v>
      </c>
      <c r="L13">
        <v>0.06</v>
      </c>
      <c r="M13">
        <v>0.05</v>
      </c>
      <c r="N13">
        <v>0.06</v>
      </c>
      <c r="O13">
        <f t="shared" ref="O13:O76" si="4">IF(C13&lt;0,NA(),I13)</f>
        <v>0.01</v>
      </c>
      <c r="P13">
        <f t="shared" ref="P13:P76" si="5">IF(D13&lt;0,NA(),J13)</f>
        <v>0</v>
      </c>
      <c r="Q13">
        <f t="shared" ref="Q13:Q76" si="6">IF(E13&lt;0,NA(),K13)</f>
        <v>0.08</v>
      </c>
      <c r="R13">
        <f t="shared" ref="R13:R76" si="7">IF(F13&lt;0,NA(),L13)</f>
        <v>0.06</v>
      </c>
      <c r="S13">
        <f t="shared" ref="S13:S76" si="8">IF(G13&lt;0,NA(),M13)</f>
        <v>0.05</v>
      </c>
      <c r="T13">
        <f t="shared" ref="T13:T76" si="9">IF(H13&lt;0,NA(),N13)</f>
        <v>0.06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0.02</v>
      </c>
      <c r="AC13">
        <v>0.01</v>
      </c>
      <c r="AD13">
        <v>0.09</v>
      </c>
      <c r="AE13">
        <v>0.1</v>
      </c>
      <c r="AF13">
        <v>0.06</v>
      </c>
      <c r="AG13">
        <v>0.08</v>
      </c>
      <c r="AH13">
        <f t="shared" ref="AH13:AH76" si="10">IF(V13&lt;0,NA(),AB13)</f>
        <v>0.02</v>
      </c>
      <c r="AI13">
        <f t="shared" ref="AI13:AI76" si="11">IF(W13&lt;0,NA(),AC13)</f>
        <v>0.01</v>
      </c>
      <c r="AJ13">
        <f t="shared" ref="AJ13:AJ76" si="12">IF(X13&lt;0,NA(),AD13)</f>
        <v>0.09</v>
      </c>
      <c r="AK13">
        <f t="shared" ref="AK13:AK76" si="13">IF(Y13&lt;0,NA(),AE13)</f>
        <v>0.1</v>
      </c>
      <c r="AL13">
        <f t="shared" ref="AL13:AL76" si="14">IF(Z13&lt;0,NA(),AF13)</f>
        <v>0.06</v>
      </c>
      <c r="AM13">
        <f t="shared" ref="AM13:AM76" si="15">IF(AA13&lt;0,NA(),AG13)</f>
        <v>0.08</v>
      </c>
      <c r="AO13">
        <f t="shared" ref="AO13:AO76" si="16">IF(OR(ISNA(O13),ISNA(AH13),AND(O13=36000,AH13=36000)),NA(), O13)</f>
        <v>0.01</v>
      </c>
      <c r="AP13">
        <f t="shared" ref="AP13:AP76" si="17">IF(OR(ISNA(P13),ISNA(AI13),AND(P13=36000,AI13=36000)),NA(), P13)</f>
        <v>0</v>
      </c>
      <c r="AQ13">
        <f t="shared" ref="AQ13:AQ76" si="18">IF(OR(ISNA(Q13),ISNA(AJ13),AND(Q13=36000,AJ13=36000)),NA(), Q13)</f>
        <v>0.08</v>
      </c>
      <c r="AR13">
        <f t="shared" ref="AR13:AR76" si="19">IF(OR(ISNA(R13),ISNA(AK13),AND(R13=36000,AK13=36000)),NA(), R13)</f>
        <v>0.06</v>
      </c>
      <c r="AS13">
        <f t="shared" ref="AS13:AS76" si="20">IF(OR(ISNA(S13),ISNA(AL13),AND(S13=36000,AL13=36000)),NA(), S13)</f>
        <v>0.05</v>
      </c>
      <c r="AT13">
        <f t="shared" ref="AT13:AT76" si="21">IF(OR(ISNA(T13),ISNA(AM13),AND(T13=36000,AM13=36000)),NA(), T13)</f>
        <v>0.06</v>
      </c>
      <c r="AU13">
        <f t="shared" ref="AU13:AU76" si="22">IF(OR(ISNA(O13),ISNA(AH13),AND(O13=36000,AH13=36000)),NA(), AH13)</f>
        <v>0.02</v>
      </c>
      <c r="AV13">
        <f t="shared" ref="AV13:AV76" si="23">IF(OR(ISNA(P13),ISNA(AI13),AND(P13=36000,AI13=36000)),NA(), AI13)</f>
        <v>0.01</v>
      </c>
      <c r="AW13">
        <f t="shared" ref="AW13:AW76" si="24">IF(OR(ISNA(Q13),ISNA(AJ13),AND(Q13=36000,AJ13=36000)),NA(), AJ13)</f>
        <v>0.09</v>
      </c>
      <c r="AX13">
        <f t="shared" ref="AX13:AX76" si="25">IF(OR(ISNA(R13),ISNA(AK13),AND(R13=36000,AK13=36000)),NA(), AK13)</f>
        <v>0.1</v>
      </c>
      <c r="AY13">
        <f t="shared" ref="AY13:AY76" si="26">IF(OR(ISNA(S13),ISNA(AL13),AND(S13=36000,AL13=36000)),NA(), AL13)</f>
        <v>0.06</v>
      </c>
      <c r="AZ13">
        <f t="shared" ref="AZ13:AZ76" si="27">IF(OR(ISNA(T13),ISNA(AM13),AND(T13=36000,AM13=36000)),NA(), AM13)</f>
        <v>0.08</v>
      </c>
    </row>
    <row r="14" spans="1:52" x14ac:dyDescent="0.3">
      <c r="A14" t="s">
        <v>10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0.01</v>
      </c>
      <c r="J14">
        <v>0.01</v>
      </c>
      <c r="K14">
        <v>0.1</v>
      </c>
      <c r="L14">
        <v>0.12</v>
      </c>
      <c r="M14">
        <v>0.14000000000000001</v>
      </c>
      <c r="N14">
        <v>0.16</v>
      </c>
      <c r="O14">
        <f t="shared" si="4"/>
        <v>0.01</v>
      </c>
      <c r="P14">
        <f t="shared" si="5"/>
        <v>0.01</v>
      </c>
      <c r="Q14">
        <f t="shared" si="6"/>
        <v>0.1</v>
      </c>
      <c r="R14">
        <f t="shared" si="7"/>
        <v>0.12</v>
      </c>
      <c r="S14">
        <f t="shared" si="8"/>
        <v>0.14000000000000001</v>
      </c>
      <c r="T14">
        <f t="shared" si="9"/>
        <v>0.16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0.02</v>
      </c>
      <c r="AC14">
        <v>0.02</v>
      </c>
      <c r="AD14">
        <v>0.12</v>
      </c>
      <c r="AE14">
        <v>0.19</v>
      </c>
      <c r="AF14">
        <v>0.23</v>
      </c>
      <c r="AG14">
        <v>0.15</v>
      </c>
      <c r="AH14">
        <f t="shared" si="10"/>
        <v>0.02</v>
      </c>
      <c r="AI14">
        <f t="shared" si="11"/>
        <v>0.02</v>
      </c>
      <c r="AJ14">
        <f t="shared" si="12"/>
        <v>0.12</v>
      </c>
      <c r="AK14">
        <f t="shared" si="13"/>
        <v>0.19</v>
      </c>
      <c r="AL14">
        <f t="shared" si="14"/>
        <v>0.23</v>
      </c>
      <c r="AM14">
        <f t="shared" si="15"/>
        <v>0.15</v>
      </c>
      <c r="AO14">
        <f t="shared" si="16"/>
        <v>0.01</v>
      </c>
      <c r="AP14">
        <f t="shared" si="17"/>
        <v>0.01</v>
      </c>
      <c r="AQ14">
        <f t="shared" si="18"/>
        <v>0.1</v>
      </c>
      <c r="AR14">
        <f t="shared" si="19"/>
        <v>0.12</v>
      </c>
      <c r="AS14">
        <f t="shared" si="20"/>
        <v>0.14000000000000001</v>
      </c>
      <c r="AT14">
        <f t="shared" si="21"/>
        <v>0.16</v>
      </c>
      <c r="AU14">
        <f t="shared" si="22"/>
        <v>0.02</v>
      </c>
      <c r="AV14">
        <f t="shared" si="23"/>
        <v>0.02</v>
      </c>
      <c r="AW14">
        <f t="shared" si="24"/>
        <v>0.12</v>
      </c>
      <c r="AX14">
        <f t="shared" si="25"/>
        <v>0.19</v>
      </c>
      <c r="AY14">
        <f t="shared" si="26"/>
        <v>0.23</v>
      </c>
      <c r="AZ14">
        <f t="shared" si="27"/>
        <v>0.15</v>
      </c>
    </row>
    <row r="15" spans="1:52" x14ac:dyDescent="0.3">
      <c r="A15" t="s">
        <v>11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0.03</v>
      </c>
      <c r="J15">
        <v>0.03</v>
      </c>
      <c r="K15">
        <v>0.15</v>
      </c>
      <c r="L15">
        <v>0.19</v>
      </c>
      <c r="M15">
        <v>0.18</v>
      </c>
      <c r="N15">
        <v>0.18</v>
      </c>
      <c r="O15">
        <f t="shared" si="4"/>
        <v>0.03</v>
      </c>
      <c r="P15">
        <f t="shared" si="5"/>
        <v>0.03</v>
      </c>
      <c r="Q15">
        <f t="shared" si="6"/>
        <v>0.15</v>
      </c>
      <c r="R15">
        <f t="shared" si="7"/>
        <v>0.19</v>
      </c>
      <c r="S15">
        <f t="shared" si="8"/>
        <v>0.18</v>
      </c>
      <c r="T15">
        <f t="shared" si="9"/>
        <v>0.18</v>
      </c>
      <c r="V15">
        <v>1</v>
      </c>
      <c r="W15">
        <v>1</v>
      </c>
      <c r="X15">
        <v>1</v>
      </c>
      <c r="Y15">
        <v>1</v>
      </c>
      <c r="Z15">
        <v>-1</v>
      </c>
      <c r="AA15">
        <v>1</v>
      </c>
      <c r="AB15">
        <v>0.04</v>
      </c>
      <c r="AC15">
        <v>0.08</v>
      </c>
      <c r="AD15">
        <v>0.19</v>
      </c>
      <c r="AE15">
        <v>0.19</v>
      </c>
      <c r="AF15">
        <v>0.3</v>
      </c>
      <c r="AG15">
        <v>0.26</v>
      </c>
      <c r="AH15">
        <f t="shared" si="10"/>
        <v>0.04</v>
      </c>
      <c r="AI15">
        <f t="shared" si="11"/>
        <v>0.08</v>
      </c>
      <c r="AJ15">
        <f t="shared" si="12"/>
        <v>0.19</v>
      </c>
      <c r="AK15">
        <f t="shared" si="13"/>
        <v>0.19</v>
      </c>
      <c r="AL15" t="e">
        <f t="shared" si="14"/>
        <v>#N/A</v>
      </c>
      <c r="AM15">
        <f t="shared" si="15"/>
        <v>0.26</v>
      </c>
      <c r="AO15">
        <f t="shared" si="16"/>
        <v>0.03</v>
      </c>
      <c r="AP15">
        <f t="shared" si="17"/>
        <v>0.03</v>
      </c>
      <c r="AQ15">
        <f t="shared" si="18"/>
        <v>0.15</v>
      </c>
      <c r="AR15">
        <f t="shared" si="19"/>
        <v>0.19</v>
      </c>
      <c r="AS15" t="e">
        <f t="shared" si="20"/>
        <v>#N/A</v>
      </c>
      <c r="AT15">
        <f t="shared" si="21"/>
        <v>0.18</v>
      </c>
      <c r="AU15">
        <f t="shared" si="22"/>
        <v>0.04</v>
      </c>
      <c r="AV15">
        <f t="shared" si="23"/>
        <v>0.08</v>
      </c>
      <c r="AW15">
        <f t="shared" si="24"/>
        <v>0.19</v>
      </c>
      <c r="AX15">
        <f t="shared" si="25"/>
        <v>0.19</v>
      </c>
      <c r="AY15" t="e">
        <f t="shared" si="26"/>
        <v>#N/A</v>
      </c>
      <c r="AZ15">
        <f t="shared" si="27"/>
        <v>0.26</v>
      </c>
    </row>
    <row r="16" spans="1:52" x14ac:dyDescent="0.3">
      <c r="A16" t="s">
        <v>12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0.11</v>
      </c>
      <c r="J16">
        <v>0.08</v>
      </c>
      <c r="K16">
        <v>0.22</v>
      </c>
      <c r="L16">
        <v>0.21</v>
      </c>
      <c r="M16">
        <v>0.39</v>
      </c>
      <c r="N16">
        <v>0.15</v>
      </c>
      <c r="O16">
        <f t="shared" si="4"/>
        <v>0.11</v>
      </c>
      <c r="P16">
        <f t="shared" si="5"/>
        <v>0.08</v>
      </c>
      <c r="Q16">
        <f t="shared" si="6"/>
        <v>0.22</v>
      </c>
      <c r="R16">
        <f t="shared" si="7"/>
        <v>0.21</v>
      </c>
      <c r="S16">
        <f t="shared" si="8"/>
        <v>0.39</v>
      </c>
      <c r="T16">
        <f t="shared" si="9"/>
        <v>0.15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0.06</v>
      </c>
      <c r="AC16">
        <v>0.08</v>
      </c>
      <c r="AD16">
        <v>0.34</v>
      </c>
      <c r="AE16">
        <v>0.36</v>
      </c>
      <c r="AF16">
        <v>0.31</v>
      </c>
      <c r="AG16">
        <v>0.31</v>
      </c>
      <c r="AH16">
        <f t="shared" si="10"/>
        <v>0.06</v>
      </c>
      <c r="AI16">
        <f t="shared" si="11"/>
        <v>0.08</v>
      </c>
      <c r="AJ16">
        <f t="shared" si="12"/>
        <v>0.34</v>
      </c>
      <c r="AK16">
        <f t="shared" si="13"/>
        <v>0.36</v>
      </c>
      <c r="AL16">
        <f t="shared" si="14"/>
        <v>0.31</v>
      </c>
      <c r="AM16">
        <f t="shared" si="15"/>
        <v>0.31</v>
      </c>
      <c r="AO16">
        <f t="shared" si="16"/>
        <v>0.11</v>
      </c>
      <c r="AP16">
        <f t="shared" si="17"/>
        <v>0.08</v>
      </c>
      <c r="AQ16">
        <f t="shared" si="18"/>
        <v>0.22</v>
      </c>
      <c r="AR16">
        <f t="shared" si="19"/>
        <v>0.21</v>
      </c>
      <c r="AS16">
        <f t="shared" si="20"/>
        <v>0.39</v>
      </c>
      <c r="AT16">
        <f t="shared" si="21"/>
        <v>0.15</v>
      </c>
      <c r="AU16">
        <f t="shared" si="22"/>
        <v>0.06</v>
      </c>
      <c r="AV16">
        <f t="shared" si="23"/>
        <v>0.08</v>
      </c>
      <c r="AW16">
        <f t="shared" si="24"/>
        <v>0.34</v>
      </c>
      <c r="AX16">
        <f t="shared" si="25"/>
        <v>0.36</v>
      </c>
      <c r="AY16">
        <f t="shared" si="26"/>
        <v>0.31</v>
      </c>
      <c r="AZ16">
        <f t="shared" si="27"/>
        <v>0.31</v>
      </c>
    </row>
    <row r="17" spans="1:52" x14ac:dyDescent="0.3">
      <c r="A17" t="s">
        <v>13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0.13</v>
      </c>
      <c r="J17">
        <v>0.11</v>
      </c>
      <c r="K17">
        <v>0.4</v>
      </c>
      <c r="L17">
        <v>0.33</v>
      </c>
      <c r="M17">
        <v>0.5</v>
      </c>
      <c r="N17">
        <v>0.27</v>
      </c>
      <c r="O17">
        <f t="shared" si="4"/>
        <v>0.13</v>
      </c>
      <c r="P17">
        <f t="shared" si="5"/>
        <v>0.11</v>
      </c>
      <c r="Q17">
        <f t="shared" si="6"/>
        <v>0.4</v>
      </c>
      <c r="R17">
        <f t="shared" si="7"/>
        <v>0.33</v>
      </c>
      <c r="S17">
        <f t="shared" si="8"/>
        <v>0.5</v>
      </c>
      <c r="T17">
        <f t="shared" si="9"/>
        <v>0.27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0.06</v>
      </c>
      <c r="AC17">
        <v>0.14000000000000001</v>
      </c>
      <c r="AD17">
        <v>0.24</v>
      </c>
      <c r="AE17">
        <v>0.52</v>
      </c>
      <c r="AF17">
        <v>0.56999999999999995</v>
      </c>
      <c r="AG17">
        <v>0.23</v>
      </c>
      <c r="AH17">
        <f t="shared" si="10"/>
        <v>0.06</v>
      </c>
      <c r="AI17">
        <f t="shared" si="11"/>
        <v>0.14000000000000001</v>
      </c>
      <c r="AJ17">
        <f t="shared" si="12"/>
        <v>0.24</v>
      </c>
      <c r="AK17">
        <f t="shared" si="13"/>
        <v>0.52</v>
      </c>
      <c r="AL17">
        <f t="shared" si="14"/>
        <v>0.56999999999999995</v>
      </c>
      <c r="AM17">
        <f t="shared" si="15"/>
        <v>0.23</v>
      </c>
      <c r="AO17">
        <f t="shared" si="16"/>
        <v>0.13</v>
      </c>
      <c r="AP17">
        <f t="shared" si="17"/>
        <v>0.11</v>
      </c>
      <c r="AQ17">
        <f t="shared" si="18"/>
        <v>0.4</v>
      </c>
      <c r="AR17">
        <f t="shared" si="19"/>
        <v>0.33</v>
      </c>
      <c r="AS17">
        <f t="shared" si="20"/>
        <v>0.5</v>
      </c>
      <c r="AT17">
        <f t="shared" si="21"/>
        <v>0.27</v>
      </c>
      <c r="AU17">
        <f t="shared" si="22"/>
        <v>0.06</v>
      </c>
      <c r="AV17">
        <f t="shared" si="23"/>
        <v>0.14000000000000001</v>
      </c>
      <c r="AW17">
        <f t="shared" si="24"/>
        <v>0.24</v>
      </c>
      <c r="AX17">
        <f t="shared" si="25"/>
        <v>0.52</v>
      </c>
      <c r="AY17">
        <f t="shared" si="26"/>
        <v>0.56999999999999995</v>
      </c>
      <c r="AZ17">
        <f t="shared" si="27"/>
        <v>0.23</v>
      </c>
    </row>
    <row r="18" spans="1:52" x14ac:dyDescent="0.3">
      <c r="A18" t="s">
        <v>14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0</v>
      </c>
      <c r="J18">
        <v>0.01</v>
      </c>
      <c r="K18">
        <v>0.02</v>
      </c>
      <c r="L18">
        <v>0.04</v>
      </c>
      <c r="M18">
        <v>0.05</v>
      </c>
      <c r="N18">
        <v>0.02</v>
      </c>
      <c r="O18" t="e">
        <f t="shared" si="4"/>
        <v>#N/A</v>
      </c>
      <c r="P18" t="e">
        <f t="shared" si="5"/>
        <v>#N/A</v>
      </c>
      <c r="Q18" t="e">
        <f t="shared" si="6"/>
        <v>#N/A</v>
      </c>
      <c r="R18" t="e">
        <f t="shared" si="7"/>
        <v>#N/A</v>
      </c>
      <c r="S18" t="e">
        <f t="shared" si="8"/>
        <v>#N/A</v>
      </c>
      <c r="T18" t="e">
        <f t="shared" si="9"/>
        <v>#N/A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0.01</v>
      </c>
      <c r="AC18">
        <v>0.01</v>
      </c>
      <c r="AD18">
        <v>0.02</v>
      </c>
      <c r="AE18">
        <v>0.06</v>
      </c>
      <c r="AF18">
        <v>0.04</v>
      </c>
      <c r="AG18">
        <v>0.02</v>
      </c>
      <c r="AH18" t="e">
        <f t="shared" si="10"/>
        <v>#N/A</v>
      </c>
      <c r="AI18" t="e">
        <f t="shared" si="11"/>
        <v>#N/A</v>
      </c>
      <c r="AJ18" t="e">
        <f t="shared" si="12"/>
        <v>#N/A</v>
      </c>
      <c r="AK18" t="e">
        <f t="shared" si="13"/>
        <v>#N/A</v>
      </c>
      <c r="AL18" t="e">
        <f t="shared" si="14"/>
        <v>#N/A</v>
      </c>
      <c r="AM18" t="e">
        <f t="shared" si="15"/>
        <v>#N/A</v>
      </c>
      <c r="AO18" t="e">
        <f t="shared" si="16"/>
        <v>#N/A</v>
      </c>
      <c r="AP18" t="e">
        <f t="shared" si="17"/>
        <v>#N/A</v>
      </c>
      <c r="AQ18" t="e">
        <f t="shared" si="18"/>
        <v>#N/A</v>
      </c>
      <c r="AR18" t="e">
        <f t="shared" si="19"/>
        <v>#N/A</v>
      </c>
      <c r="AS18" t="e">
        <f t="shared" si="20"/>
        <v>#N/A</v>
      </c>
      <c r="AT18" t="e">
        <f t="shared" si="21"/>
        <v>#N/A</v>
      </c>
      <c r="AU18" t="e">
        <f t="shared" si="22"/>
        <v>#N/A</v>
      </c>
      <c r="AV18" t="e">
        <f t="shared" si="23"/>
        <v>#N/A</v>
      </c>
      <c r="AW18" t="e">
        <f t="shared" si="24"/>
        <v>#N/A</v>
      </c>
      <c r="AX18" t="e">
        <f t="shared" si="25"/>
        <v>#N/A</v>
      </c>
      <c r="AY18" t="e">
        <f t="shared" si="26"/>
        <v>#N/A</v>
      </c>
      <c r="AZ18" t="e">
        <f t="shared" si="27"/>
        <v>#N/A</v>
      </c>
    </row>
    <row r="19" spans="1:52" x14ac:dyDescent="0.3">
      <c r="A19" t="s">
        <v>15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0.01</v>
      </c>
      <c r="J19">
        <v>0.01</v>
      </c>
      <c r="K19">
        <v>0.03</v>
      </c>
      <c r="L19">
        <v>0.04</v>
      </c>
      <c r="M19">
        <v>0.04</v>
      </c>
      <c r="N19">
        <v>0.03</v>
      </c>
      <c r="O19" t="e">
        <f t="shared" si="4"/>
        <v>#N/A</v>
      </c>
      <c r="P19" t="e">
        <f t="shared" si="5"/>
        <v>#N/A</v>
      </c>
      <c r="Q19" t="e">
        <f t="shared" si="6"/>
        <v>#N/A</v>
      </c>
      <c r="R19" t="e">
        <f t="shared" si="7"/>
        <v>#N/A</v>
      </c>
      <c r="S19" t="e">
        <f t="shared" si="8"/>
        <v>#N/A</v>
      </c>
      <c r="T19" t="e">
        <f t="shared" si="9"/>
        <v>#N/A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0.01</v>
      </c>
      <c r="AC19">
        <v>0.01</v>
      </c>
      <c r="AD19">
        <v>0.02</v>
      </c>
      <c r="AE19">
        <v>0.05</v>
      </c>
      <c r="AF19">
        <v>0.04</v>
      </c>
      <c r="AG19">
        <v>0.03</v>
      </c>
      <c r="AH19" t="e">
        <f t="shared" si="10"/>
        <v>#N/A</v>
      </c>
      <c r="AI19" t="e">
        <f t="shared" si="11"/>
        <v>#N/A</v>
      </c>
      <c r="AJ19" t="e">
        <f t="shared" si="12"/>
        <v>#N/A</v>
      </c>
      <c r="AK19" t="e">
        <f t="shared" si="13"/>
        <v>#N/A</v>
      </c>
      <c r="AL19" t="e">
        <f t="shared" si="14"/>
        <v>#N/A</v>
      </c>
      <c r="AM19" t="e">
        <f t="shared" si="15"/>
        <v>#N/A</v>
      </c>
      <c r="AO19" t="e">
        <f t="shared" si="16"/>
        <v>#N/A</v>
      </c>
      <c r="AP19" t="e">
        <f t="shared" si="17"/>
        <v>#N/A</v>
      </c>
      <c r="AQ19" t="e">
        <f t="shared" si="18"/>
        <v>#N/A</v>
      </c>
      <c r="AR19" t="e">
        <f t="shared" si="19"/>
        <v>#N/A</v>
      </c>
      <c r="AS19" t="e">
        <f t="shared" si="20"/>
        <v>#N/A</v>
      </c>
      <c r="AT19" t="e">
        <f t="shared" si="21"/>
        <v>#N/A</v>
      </c>
      <c r="AU19" t="e">
        <f t="shared" si="22"/>
        <v>#N/A</v>
      </c>
      <c r="AV19" t="e">
        <f t="shared" si="23"/>
        <v>#N/A</v>
      </c>
      <c r="AW19" t="e">
        <f t="shared" si="24"/>
        <v>#N/A</v>
      </c>
      <c r="AX19" t="e">
        <f t="shared" si="25"/>
        <v>#N/A</v>
      </c>
      <c r="AY19" t="e">
        <f t="shared" si="26"/>
        <v>#N/A</v>
      </c>
      <c r="AZ19" t="e">
        <f t="shared" si="27"/>
        <v>#N/A</v>
      </c>
    </row>
    <row r="20" spans="1:52" x14ac:dyDescent="0.3">
      <c r="A20" t="s">
        <v>16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0</v>
      </c>
      <c r="J20">
        <v>0</v>
      </c>
      <c r="K20">
        <v>0.01</v>
      </c>
      <c r="L20">
        <v>0.02</v>
      </c>
      <c r="M20">
        <v>0.02</v>
      </c>
      <c r="N20">
        <v>0.01</v>
      </c>
      <c r="O20" t="e">
        <f t="shared" si="4"/>
        <v>#N/A</v>
      </c>
      <c r="P20" t="e">
        <f t="shared" si="5"/>
        <v>#N/A</v>
      </c>
      <c r="Q20" t="e">
        <f t="shared" si="6"/>
        <v>#N/A</v>
      </c>
      <c r="R20" t="e">
        <f t="shared" si="7"/>
        <v>#N/A</v>
      </c>
      <c r="S20" t="e">
        <f t="shared" si="8"/>
        <v>#N/A</v>
      </c>
      <c r="T20" t="e">
        <f t="shared" si="9"/>
        <v>#N/A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0.01</v>
      </c>
      <c r="AC20">
        <v>0.01</v>
      </c>
      <c r="AD20">
        <v>0.01</v>
      </c>
      <c r="AE20">
        <v>0.02</v>
      </c>
      <c r="AF20">
        <v>0.01</v>
      </c>
      <c r="AG20">
        <v>0.01</v>
      </c>
      <c r="AH20" t="e">
        <f t="shared" si="10"/>
        <v>#N/A</v>
      </c>
      <c r="AI20" t="e">
        <f t="shared" si="11"/>
        <v>#N/A</v>
      </c>
      <c r="AJ20" t="e">
        <f t="shared" si="12"/>
        <v>#N/A</v>
      </c>
      <c r="AK20" t="e">
        <f t="shared" si="13"/>
        <v>#N/A</v>
      </c>
      <c r="AL20" t="e">
        <f t="shared" si="14"/>
        <v>#N/A</v>
      </c>
      <c r="AM20" t="e">
        <f t="shared" si="15"/>
        <v>#N/A</v>
      </c>
      <c r="AO20" t="e">
        <f t="shared" si="16"/>
        <v>#N/A</v>
      </c>
      <c r="AP20" t="e">
        <f t="shared" si="17"/>
        <v>#N/A</v>
      </c>
      <c r="AQ20" t="e">
        <f t="shared" si="18"/>
        <v>#N/A</v>
      </c>
      <c r="AR20" t="e">
        <f t="shared" si="19"/>
        <v>#N/A</v>
      </c>
      <c r="AS20" t="e">
        <f t="shared" si="20"/>
        <v>#N/A</v>
      </c>
      <c r="AT20" t="e">
        <f t="shared" si="21"/>
        <v>#N/A</v>
      </c>
      <c r="AU20" t="e">
        <f t="shared" si="22"/>
        <v>#N/A</v>
      </c>
      <c r="AV20" t="e">
        <f t="shared" si="23"/>
        <v>#N/A</v>
      </c>
      <c r="AW20" t="e">
        <f t="shared" si="24"/>
        <v>#N/A</v>
      </c>
      <c r="AX20" t="e">
        <f t="shared" si="25"/>
        <v>#N/A</v>
      </c>
      <c r="AY20" t="e">
        <f t="shared" si="26"/>
        <v>#N/A</v>
      </c>
      <c r="AZ20" t="e">
        <f t="shared" si="27"/>
        <v>#N/A</v>
      </c>
    </row>
    <row r="21" spans="1:52" x14ac:dyDescent="0.3">
      <c r="A21" t="s">
        <v>17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0.04</v>
      </c>
      <c r="J21">
        <v>0.05</v>
      </c>
      <c r="K21">
        <v>0.38</v>
      </c>
      <c r="L21">
        <v>0.39</v>
      </c>
      <c r="M21">
        <v>0.71</v>
      </c>
      <c r="N21">
        <v>0.42</v>
      </c>
      <c r="O21">
        <f t="shared" si="4"/>
        <v>0.04</v>
      </c>
      <c r="P21">
        <f t="shared" si="5"/>
        <v>0.05</v>
      </c>
      <c r="Q21">
        <f t="shared" si="6"/>
        <v>0.38</v>
      </c>
      <c r="R21">
        <f t="shared" si="7"/>
        <v>0.39</v>
      </c>
      <c r="S21">
        <f t="shared" si="8"/>
        <v>0.71</v>
      </c>
      <c r="T21">
        <f t="shared" si="9"/>
        <v>0.42</v>
      </c>
      <c r="V21">
        <v>1</v>
      </c>
      <c r="W21">
        <v>1</v>
      </c>
      <c r="X21">
        <v>1</v>
      </c>
      <c r="Y21">
        <v>1</v>
      </c>
      <c r="Z21">
        <v>1</v>
      </c>
      <c r="AA21">
        <v>-1</v>
      </c>
      <c r="AB21">
        <v>0.03</v>
      </c>
      <c r="AC21">
        <v>0.04</v>
      </c>
      <c r="AD21">
        <v>0.31</v>
      </c>
      <c r="AE21">
        <v>1.06</v>
      </c>
      <c r="AF21">
        <v>0.54</v>
      </c>
      <c r="AG21">
        <v>0.33</v>
      </c>
      <c r="AH21">
        <f t="shared" si="10"/>
        <v>0.03</v>
      </c>
      <c r="AI21">
        <f t="shared" si="11"/>
        <v>0.04</v>
      </c>
      <c r="AJ21">
        <f t="shared" si="12"/>
        <v>0.31</v>
      </c>
      <c r="AK21">
        <f t="shared" si="13"/>
        <v>1.06</v>
      </c>
      <c r="AL21">
        <f t="shared" si="14"/>
        <v>0.54</v>
      </c>
      <c r="AM21" t="e">
        <f t="shared" si="15"/>
        <v>#N/A</v>
      </c>
      <c r="AO21">
        <f t="shared" si="16"/>
        <v>0.04</v>
      </c>
      <c r="AP21">
        <f t="shared" si="17"/>
        <v>0.05</v>
      </c>
      <c r="AQ21">
        <f t="shared" si="18"/>
        <v>0.38</v>
      </c>
      <c r="AR21">
        <f t="shared" si="19"/>
        <v>0.39</v>
      </c>
      <c r="AS21">
        <f t="shared" si="20"/>
        <v>0.71</v>
      </c>
      <c r="AT21" t="e">
        <f t="shared" si="21"/>
        <v>#N/A</v>
      </c>
      <c r="AU21">
        <f t="shared" si="22"/>
        <v>0.03</v>
      </c>
      <c r="AV21">
        <f t="shared" si="23"/>
        <v>0.04</v>
      </c>
      <c r="AW21">
        <f t="shared" si="24"/>
        <v>0.31</v>
      </c>
      <c r="AX21">
        <f t="shared" si="25"/>
        <v>1.06</v>
      </c>
      <c r="AY21">
        <f t="shared" si="26"/>
        <v>0.54</v>
      </c>
      <c r="AZ21" t="e">
        <f t="shared" si="27"/>
        <v>#N/A</v>
      </c>
    </row>
    <row r="22" spans="1:52" x14ac:dyDescent="0.3">
      <c r="A22" t="s">
        <v>18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0.15</v>
      </c>
      <c r="J22">
        <v>0.11</v>
      </c>
      <c r="K22">
        <v>0.93</v>
      </c>
      <c r="L22">
        <v>0.65</v>
      </c>
      <c r="M22">
        <v>0.78</v>
      </c>
      <c r="N22">
        <v>0.81</v>
      </c>
      <c r="O22">
        <f t="shared" si="4"/>
        <v>0.15</v>
      </c>
      <c r="P22">
        <f t="shared" si="5"/>
        <v>0.11</v>
      </c>
      <c r="Q22">
        <f t="shared" si="6"/>
        <v>0.93</v>
      </c>
      <c r="R22">
        <f t="shared" si="7"/>
        <v>0.65</v>
      </c>
      <c r="S22">
        <f t="shared" si="8"/>
        <v>0.78</v>
      </c>
      <c r="T22">
        <f t="shared" si="9"/>
        <v>0.81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0.09</v>
      </c>
      <c r="AC22">
        <v>0.1</v>
      </c>
      <c r="AD22">
        <v>0.56999999999999995</v>
      </c>
      <c r="AE22">
        <v>1.37</v>
      </c>
      <c r="AF22">
        <v>0.98</v>
      </c>
      <c r="AG22">
        <v>0.57999999999999996</v>
      </c>
      <c r="AH22">
        <f t="shared" si="10"/>
        <v>0.09</v>
      </c>
      <c r="AI22">
        <f t="shared" si="11"/>
        <v>0.1</v>
      </c>
      <c r="AJ22">
        <f t="shared" si="12"/>
        <v>0.56999999999999995</v>
      </c>
      <c r="AK22">
        <f t="shared" si="13"/>
        <v>1.37</v>
      </c>
      <c r="AL22">
        <f t="shared" si="14"/>
        <v>0.98</v>
      </c>
      <c r="AM22">
        <f t="shared" si="15"/>
        <v>0.57999999999999996</v>
      </c>
      <c r="AO22">
        <f t="shared" si="16"/>
        <v>0.15</v>
      </c>
      <c r="AP22">
        <f t="shared" si="17"/>
        <v>0.11</v>
      </c>
      <c r="AQ22">
        <f t="shared" si="18"/>
        <v>0.93</v>
      </c>
      <c r="AR22">
        <f t="shared" si="19"/>
        <v>0.65</v>
      </c>
      <c r="AS22">
        <f t="shared" si="20"/>
        <v>0.78</v>
      </c>
      <c r="AT22">
        <f t="shared" si="21"/>
        <v>0.81</v>
      </c>
      <c r="AU22">
        <f t="shared" si="22"/>
        <v>0.09</v>
      </c>
      <c r="AV22">
        <f t="shared" si="23"/>
        <v>0.1</v>
      </c>
      <c r="AW22">
        <f t="shared" si="24"/>
        <v>0.56999999999999995</v>
      </c>
      <c r="AX22">
        <f t="shared" si="25"/>
        <v>1.37</v>
      </c>
      <c r="AY22">
        <f t="shared" si="26"/>
        <v>0.98</v>
      </c>
      <c r="AZ22">
        <f t="shared" si="27"/>
        <v>0.57999999999999996</v>
      </c>
    </row>
    <row r="23" spans="1:52" x14ac:dyDescent="0.3">
      <c r="A23" t="s">
        <v>19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0.09</v>
      </c>
      <c r="J23">
        <v>0.33</v>
      </c>
      <c r="K23">
        <v>0.51</v>
      </c>
      <c r="L23">
        <v>0.74</v>
      </c>
      <c r="M23">
        <v>1.39</v>
      </c>
      <c r="N23">
        <v>0.88</v>
      </c>
      <c r="O23">
        <f t="shared" si="4"/>
        <v>0.09</v>
      </c>
      <c r="P23">
        <f t="shared" si="5"/>
        <v>0.33</v>
      </c>
      <c r="Q23">
        <f t="shared" si="6"/>
        <v>0.51</v>
      </c>
      <c r="R23">
        <f t="shared" si="7"/>
        <v>0.74</v>
      </c>
      <c r="S23">
        <f t="shared" si="8"/>
        <v>1.39</v>
      </c>
      <c r="T23">
        <f t="shared" si="9"/>
        <v>0.88</v>
      </c>
      <c r="V23">
        <v>1</v>
      </c>
      <c r="W23">
        <v>1</v>
      </c>
      <c r="X23">
        <v>1</v>
      </c>
      <c r="Y23">
        <v>1</v>
      </c>
      <c r="Z23">
        <v>1</v>
      </c>
      <c r="AA23">
        <v>-1</v>
      </c>
      <c r="AB23">
        <v>0.12</v>
      </c>
      <c r="AC23">
        <v>0.09</v>
      </c>
      <c r="AD23">
        <v>0.46</v>
      </c>
      <c r="AE23">
        <v>1.17</v>
      </c>
      <c r="AF23">
        <v>1.44</v>
      </c>
      <c r="AG23">
        <v>0.56000000000000005</v>
      </c>
      <c r="AH23">
        <f t="shared" si="10"/>
        <v>0.12</v>
      </c>
      <c r="AI23">
        <f t="shared" si="11"/>
        <v>0.09</v>
      </c>
      <c r="AJ23">
        <f t="shared" si="12"/>
        <v>0.46</v>
      </c>
      <c r="AK23">
        <f t="shared" si="13"/>
        <v>1.17</v>
      </c>
      <c r="AL23">
        <f t="shared" si="14"/>
        <v>1.44</v>
      </c>
      <c r="AM23" t="e">
        <f t="shared" si="15"/>
        <v>#N/A</v>
      </c>
      <c r="AO23">
        <f t="shared" si="16"/>
        <v>0.09</v>
      </c>
      <c r="AP23">
        <f t="shared" si="17"/>
        <v>0.33</v>
      </c>
      <c r="AQ23">
        <f t="shared" si="18"/>
        <v>0.51</v>
      </c>
      <c r="AR23">
        <f t="shared" si="19"/>
        <v>0.74</v>
      </c>
      <c r="AS23">
        <f t="shared" si="20"/>
        <v>1.39</v>
      </c>
      <c r="AT23" t="e">
        <f t="shared" si="21"/>
        <v>#N/A</v>
      </c>
      <c r="AU23">
        <f t="shared" si="22"/>
        <v>0.12</v>
      </c>
      <c r="AV23">
        <f t="shared" si="23"/>
        <v>0.09</v>
      </c>
      <c r="AW23">
        <f t="shared" si="24"/>
        <v>0.46</v>
      </c>
      <c r="AX23">
        <f t="shared" si="25"/>
        <v>1.17</v>
      </c>
      <c r="AY23">
        <f t="shared" si="26"/>
        <v>1.44</v>
      </c>
      <c r="AZ23" t="e">
        <f t="shared" si="27"/>
        <v>#N/A</v>
      </c>
    </row>
    <row r="24" spans="1:52" x14ac:dyDescent="0.3">
      <c r="A24" t="s">
        <v>20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0.02</v>
      </c>
      <c r="J24">
        <v>0.02</v>
      </c>
      <c r="K24">
        <v>0.21</v>
      </c>
      <c r="L24">
        <v>0.21</v>
      </c>
      <c r="M24">
        <v>0.35</v>
      </c>
      <c r="N24">
        <v>0.23</v>
      </c>
      <c r="O24">
        <f t="shared" si="4"/>
        <v>0.02</v>
      </c>
      <c r="P24">
        <f t="shared" si="5"/>
        <v>0.02</v>
      </c>
      <c r="Q24">
        <f t="shared" si="6"/>
        <v>0.21</v>
      </c>
      <c r="R24">
        <f t="shared" si="7"/>
        <v>0.21</v>
      </c>
      <c r="S24">
        <f t="shared" si="8"/>
        <v>0.35</v>
      </c>
      <c r="T24">
        <f t="shared" si="9"/>
        <v>0.23</v>
      </c>
      <c r="V24">
        <v>1</v>
      </c>
      <c r="W24">
        <v>1</v>
      </c>
      <c r="X24">
        <v>-1</v>
      </c>
      <c r="Y24">
        <v>1</v>
      </c>
      <c r="Z24">
        <v>1</v>
      </c>
      <c r="AA24">
        <v>1</v>
      </c>
      <c r="AB24">
        <v>0.02</v>
      </c>
      <c r="AC24">
        <v>0.03</v>
      </c>
      <c r="AD24">
        <v>0.15</v>
      </c>
      <c r="AE24">
        <v>0.56999999999999995</v>
      </c>
      <c r="AF24">
        <v>0.54</v>
      </c>
      <c r="AG24">
        <v>0.15</v>
      </c>
      <c r="AH24">
        <f t="shared" si="10"/>
        <v>0.02</v>
      </c>
      <c r="AI24">
        <f t="shared" si="11"/>
        <v>0.03</v>
      </c>
      <c r="AJ24" t="e">
        <f t="shared" si="12"/>
        <v>#N/A</v>
      </c>
      <c r="AK24">
        <f t="shared" si="13"/>
        <v>0.56999999999999995</v>
      </c>
      <c r="AL24">
        <f t="shared" si="14"/>
        <v>0.54</v>
      </c>
      <c r="AM24">
        <f t="shared" si="15"/>
        <v>0.15</v>
      </c>
      <c r="AO24">
        <f t="shared" si="16"/>
        <v>0.02</v>
      </c>
      <c r="AP24">
        <f t="shared" si="17"/>
        <v>0.02</v>
      </c>
      <c r="AQ24" t="e">
        <f t="shared" si="18"/>
        <v>#N/A</v>
      </c>
      <c r="AR24">
        <f t="shared" si="19"/>
        <v>0.21</v>
      </c>
      <c r="AS24">
        <f t="shared" si="20"/>
        <v>0.35</v>
      </c>
      <c r="AT24">
        <f t="shared" si="21"/>
        <v>0.23</v>
      </c>
      <c r="AU24">
        <f t="shared" si="22"/>
        <v>0.02</v>
      </c>
      <c r="AV24">
        <f t="shared" si="23"/>
        <v>0.03</v>
      </c>
      <c r="AW24" t="e">
        <f t="shared" si="24"/>
        <v>#N/A</v>
      </c>
      <c r="AX24">
        <f t="shared" si="25"/>
        <v>0.56999999999999995</v>
      </c>
      <c r="AY24">
        <f t="shared" si="26"/>
        <v>0.54</v>
      </c>
      <c r="AZ24">
        <f t="shared" si="27"/>
        <v>0.15</v>
      </c>
    </row>
    <row r="25" spans="1:52" x14ac:dyDescent="0.3">
      <c r="A25" t="s">
        <v>21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0.08</v>
      </c>
      <c r="J25">
        <v>0.15</v>
      </c>
      <c r="K25">
        <v>0.28999999999999998</v>
      </c>
      <c r="L25">
        <v>0.32</v>
      </c>
      <c r="M25">
        <v>0.46</v>
      </c>
      <c r="N25">
        <v>0.31</v>
      </c>
      <c r="O25">
        <f t="shared" si="4"/>
        <v>0.08</v>
      </c>
      <c r="P25">
        <f t="shared" si="5"/>
        <v>0.15</v>
      </c>
      <c r="Q25">
        <f t="shared" si="6"/>
        <v>0.28999999999999998</v>
      </c>
      <c r="R25">
        <f t="shared" si="7"/>
        <v>0.32</v>
      </c>
      <c r="S25">
        <f t="shared" si="8"/>
        <v>0.46</v>
      </c>
      <c r="T25">
        <f t="shared" si="9"/>
        <v>0.31</v>
      </c>
      <c r="V25">
        <v>1</v>
      </c>
      <c r="W25">
        <v>1</v>
      </c>
      <c r="X25">
        <v>1</v>
      </c>
      <c r="Y25">
        <v>1</v>
      </c>
      <c r="Z25">
        <v>-1</v>
      </c>
      <c r="AA25">
        <v>1</v>
      </c>
      <c r="AB25">
        <v>7.0000000000000007E-2</v>
      </c>
      <c r="AC25">
        <v>0.1</v>
      </c>
      <c r="AD25">
        <v>0.22</v>
      </c>
      <c r="AE25">
        <v>0.62</v>
      </c>
      <c r="AF25">
        <v>0.6</v>
      </c>
      <c r="AG25">
        <v>0.35</v>
      </c>
      <c r="AH25">
        <f t="shared" si="10"/>
        <v>7.0000000000000007E-2</v>
      </c>
      <c r="AI25">
        <f t="shared" si="11"/>
        <v>0.1</v>
      </c>
      <c r="AJ25">
        <f t="shared" si="12"/>
        <v>0.22</v>
      </c>
      <c r="AK25">
        <f t="shared" si="13"/>
        <v>0.62</v>
      </c>
      <c r="AL25" t="e">
        <f t="shared" si="14"/>
        <v>#N/A</v>
      </c>
      <c r="AM25">
        <f t="shared" si="15"/>
        <v>0.35</v>
      </c>
      <c r="AO25">
        <f t="shared" si="16"/>
        <v>0.08</v>
      </c>
      <c r="AP25">
        <f t="shared" si="17"/>
        <v>0.15</v>
      </c>
      <c r="AQ25">
        <f t="shared" si="18"/>
        <v>0.28999999999999998</v>
      </c>
      <c r="AR25">
        <f t="shared" si="19"/>
        <v>0.32</v>
      </c>
      <c r="AS25" t="e">
        <f t="shared" si="20"/>
        <v>#N/A</v>
      </c>
      <c r="AT25">
        <f t="shared" si="21"/>
        <v>0.31</v>
      </c>
      <c r="AU25">
        <f t="shared" si="22"/>
        <v>7.0000000000000007E-2</v>
      </c>
      <c r="AV25">
        <f t="shared" si="23"/>
        <v>0.1</v>
      </c>
      <c r="AW25">
        <f t="shared" si="24"/>
        <v>0.22</v>
      </c>
      <c r="AX25">
        <f t="shared" si="25"/>
        <v>0.62</v>
      </c>
      <c r="AY25" t="e">
        <f t="shared" si="26"/>
        <v>#N/A</v>
      </c>
      <c r="AZ25">
        <f t="shared" si="27"/>
        <v>0.35</v>
      </c>
    </row>
    <row r="26" spans="1:52" x14ac:dyDescent="0.3">
      <c r="A26" t="s">
        <v>22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0.12</v>
      </c>
      <c r="J26">
        <v>0.12</v>
      </c>
      <c r="K26">
        <v>0.23</v>
      </c>
      <c r="L26">
        <v>0.16</v>
      </c>
      <c r="M26">
        <v>0.37</v>
      </c>
      <c r="N26">
        <v>0.32</v>
      </c>
      <c r="O26">
        <f t="shared" si="4"/>
        <v>0.12</v>
      </c>
      <c r="P26">
        <f t="shared" si="5"/>
        <v>0.12</v>
      </c>
      <c r="Q26">
        <f t="shared" si="6"/>
        <v>0.23</v>
      </c>
      <c r="R26">
        <f t="shared" si="7"/>
        <v>0.16</v>
      </c>
      <c r="S26">
        <f t="shared" si="8"/>
        <v>0.37</v>
      </c>
      <c r="T26">
        <f t="shared" si="9"/>
        <v>0.32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7.0000000000000007E-2</v>
      </c>
      <c r="AC26">
        <v>0.06</v>
      </c>
      <c r="AD26">
        <v>0.23</v>
      </c>
      <c r="AE26">
        <v>0.63</v>
      </c>
      <c r="AF26">
        <v>0.45</v>
      </c>
      <c r="AG26">
        <v>0.25</v>
      </c>
      <c r="AH26">
        <f t="shared" si="10"/>
        <v>7.0000000000000007E-2</v>
      </c>
      <c r="AI26">
        <f t="shared" si="11"/>
        <v>0.06</v>
      </c>
      <c r="AJ26">
        <f t="shared" si="12"/>
        <v>0.23</v>
      </c>
      <c r="AK26">
        <f t="shared" si="13"/>
        <v>0.63</v>
      </c>
      <c r="AL26">
        <f t="shared" si="14"/>
        <v>0.45</v>
      </c>
      <c r="AM26">
        <f t="shared" si="15"/>
        <v>0.25</v>
      </c>
      <c r="AO26">
        <f t="shared" si="16"/>
        <v>0.12</v>
      </c>
      <c r="AP26">
        <f t="shared" si="17"/>
        <v>0.12</v>
      </c>
      <c r="AQ26">
        <f t="shared" si="18"/>
        <v>0.23</v>
      </c>
      <c r="AR26">
        <f t="shared" si="19"/>
        <v>0.16</v>
      </c>
      <c r="AS26">
        <f t="shared" si="20"/>
        <v>0.37</v>
      </c>
      <c r="AT26">
        <f t="shared" si="21"/>
        <v>0.32</v>
      </c>
      <c r="AU26">
        <f t="shared" si="22"/>
        <v>7.0000000000000007E-2</v>
      </c>
      <c r="AV26">
        <f t="shared" si="23"/>
        <v>0.06</v>
      </c>
      <c r="AW26">
        <f t="shared" si="24"/>
        <v>0.23</v>
      </c>
      <c r="AX26">
        <f t="shared" si="25"/>
        <v>0.63</v>
      </c>
      <c r="AY26">
        <f t="shared" si="26"/>
        <v>0.45</v>
      </c>
      <c r="AZ26">
        <f t="shared" si="27"/>
        <v>0.25</v>
      </c>
    </row>
    <row r="27" spans="1:52" x14ac:dyDescent="0.3">
      <c r="A27" t="s">
        <v>23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0</v>
      </c>
      <c r="J27">
        <v>0</v>
      </c>
      <c r="K27">
        <v>0.01</v>
      </c>
      <c r="L27">
        <v>0.02</v>
      </c>
      <c r="M27">
        <v>0.01</v>
      </c>
      <c r="N27">
        <v>0.01</v>
      </c>
      <c r="O27" t="e">
        <f t="shared" si="4"/>
        <v>#N/A</v>
      </c>
      <c r="P27" t="e">
        <f t="shared" si="5"/>
        <v>#N/A</v>
      </c>
      <c r="Q27" t="e">
        <f t="shared" si="6"/>
        <v>#N/A</v>
      </c>
      <c r="R27" t="e">
        <f t="shared" si="7"/>
        <v>#N/A</v>
      </c>
      <c r="S27" t="e">
        <f t="shared" si="8"/>
        <v>#N/A</v>
      </c>
      <c r="T27" t="e">
        <f t="shared" si="9"/>
        <v>#N/A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0</v>
      </c>
      <c r="AC27">
        <v>0</v>
      </c>
      <c r="AD27">
        <v>0.02</v>
      </c>
      <c r="AE27">
        <v>0.01</v>
      </c>
      <c r="AF27">
        <v>0.02</v>
      </c>
      <c r="AG27">
        <v>0.02</v>
      </c>
      <c r="AH27" t="e">
        <f t="shared" si="10"/>
        <v>#N/A</v>
      </c>
      <c r="AI27" t="e">
        <f t="shared" si="11"/>
        <v>#N/A</v>
      </c>
      <c r="AJ27" t="e">
        <f t="shared" si="12"/>
        <v>#N/A</v>
      </c>
      <c r="AK27" t="e">
        <f t="shared" si="13"/>
        <v>#N/A</v>
      </c>
      <c r="AL27" t="e">
        <f t="shared" si="14"/>
        <v>#N/A</v>
      </c>
      <c r="AM27" t="e">
        <f t="shared" si="15"/>
        <v>#N/A</v>
      </c>
      <c r="AO27" t="e">
        <f t="shared" si="16"/>
        <v>#N/A</v>
      </c>
      <c r="AP27" t="e">
        <f t="shared" si="17"/>
        <v>#N/A</v>
      </c>
      <c r="AQ27" t="e">
        <f t="shared" si="18"/>
        <v>#N/A</v>
      </c>
      <c r="AR27" t="e">
        <f t="shared" si="19"/>
        <v>#N/A</v>
      </c>
      <c r="AS27" t="e">
        <f t="shared" si="20"/>
        <v>#N/A</v>
      </c>
      <c r="AT27" t="e">
        <f t="shared" si="21"/>
        <v>#N/A</v>
      </c>
      <c r="AU27" t="e">
        <f t="shared" si="22"/>
        <v>#N/A</v>
      </c>
      <c r="AV27" t="e">
        <f t="shared" si="23"/>
        <v>#N/A</v>
      </c>
      <c r="AW27" t="e">
        <f t="shared" si="24"/>
        <v>#N/A</v>
      </c>
      <c r="AX27" t="e">
        <f t="shared" si="25"/>
        <v>#N/A</v>
      </c>
      <c r="AY27" t="e">
        <f t="shared" si="26"/>
        <v>#N/A</v>
      </c>
      <c r="AZ27" t="e">
        <f t="shared" si="27"/>
        <v>#N/A</v>
      </c>
    </row>
    <row r="28" spans="1:52" x14ac:dyDescent="0.3">
      <c r="A28" t="s">
        <v>24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0.01</v>
      </c>
      <c r="J28">
        <v>0.01</v>
      </c>
      <c r="K28">
        <v>0.05</v>
      </c>
      <c r="L28">
        <v>7.0000000000000007E-2</v>
      </c>
      <c r="M28">
        <v>0.04</v>
      </c>
      <c r="N28">
        <v>0.03</v>
      </c>
      <c r="O28" t="e">
        <f t="shared" si="4"/>
        <v>#N/A</v>
      </c>
      <c r="P28" t="e">
        <f t="shared" si="5"/>
        <v>#N/A</v>
      </c>
      <c r="Q28" t="e">
        <f t="shared" si="6"/>
        <v>#N/A</v>
      </c>
      <c r="R28" t="e">
        <f t="shared" si="7"/>
        <v>#N/A</v>
      </c>
      <c r="S28" t="e">
        <f t="shared" si="8"/>
        <v>#N/A</v>
      </c>
      <c r="T28" t="e">
        <f t="shared" si="9"/>
        <v>#N/A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0.01</v>
      </c>
      <c r="AC28">
        <v>0.01</v>
      </c>
      <c r="AD28">
        <v>0.04</v>
      </c>
      <c r="AE28">
        <v>0.06</v>
      </c>
      <c r="AF28">
        <v>0.04</v>
      </c>
      <c r="AG28">
        <v>0.04</v>
      </c>
      <c r="AH28" t="e">
        <f t="shared" si="10"/>
        <v>#N/A</v>
      </c>
      <c r="AI28" t="e">
        <f t="shared" si="11"/>
        <v>#N/A</v>
      </c>
      <c r="AJ28" t="e">
        <f t="shared" si="12"/>
        <v>#N/A</v>
      </c>
      <c r="AK28" t="e">
        <f t="shared" si="13"/>
        <v>#N/A</v>
      </c>
      <c r="AL28" t="e">
        <f t="shared" si="14"/>
        <v>#N/A</v>
      </c>
      <c r="AM28" t="e">
        <f t="shared" si="15"/>
        <v>#N/A</v>
      </c>
      <c r="AO28" t="e">
        <f t="shared" si="16"/>
        <v>#N/A</v>
      </c>
      <c r="AP28" t="e">
        <f t="shared" si="17"/>
        <v>#N/A</v>
      </c>
      <c r="AQ28" t="e">
        <f t="shared" si="18"/>
        <v>#N/A</v>
      </c>
      <c r="AR28" t="e">
        <f t="shared" si="19"/>
        <v>#N/A</v>
      </c>
      <c r="AS28" t="e">
        <f t="shared" si="20"/>
        <v>#N/A</v>
      </c>
      <c r="AT28" t="e">
        <f t="shared" si="21"/>
        <v>#N/A</v>
      </c>
      <c r="AU28" t="e">
        <f t="shared" si="22"/>
        <v>#N/A</v>
      </c>
      <c r="AV28" t="e">
        <f t="shared" si="23"/>
        <v>#N/A</v>
      </c>
      <c r="AW28" t="e">
        <f t="shared" si="24"/>
        <v>#N/A</v>
      </c>
      <c r="AX28" t="e">
        <f t="shared" si="25"/>
        <v>#N/A</v>
      </c>
      <c r="AY28" t="e">
        <f t="shared" si="26"/>
        <v>#N/A</v>
      </c>
      <c r="AZ28" t="e">
        <f t="shared" si="27"/>
        <v>#N/A</v>
      </c>
    </row>
    <row r="29" spans="1:52" x14ac:dyDescent="0.3">
      <c r="A29" t="s">
        <v>25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0</v>
      </c>
      <c r="J29">
        <v>0</v>
      </c>
      <c r="K29">
        <v>0.01</v>
      </c>
      <c r="L29">
        <v>0.02</v>
      </c>
      <c r="M29">
        <v>0.01</v>
      </c>
      <c r="N29">
        <v>0.01</v>
      </c>
      <c r="O29" t="e">
        <f t="shared" si="4"/>
        <v>#N/A</v>
      </c>
      <c r="P29" t="e">
        <f t="shared" si="5"/>
        <v>#N/A</v>
      </c>
      <c r="Q29" t="e">
        <f t="shared" si="6"/>
        <v>#N/A</v>
      </c>
      <c r="R29" t="e">
        <f t="shared" si="7"/>
        <v>#N/A</v>
      </c>
      <c r="S29" t="e">
        <f t="shared" si="8"/>
        <v>#N/A</v>
      </c>
      <c r="T29" t="e">
        <f t="shared" si="9"/>
        <v>#N/A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0</v>
      </c>
      <c r="AC29">
        <v>0</v>
      </c>
      <c r="AD29">
        <v>0.01</v>
      </c>
      <c r="AE29">
        <v>0.01</v>
      </c>
      <c r="AF29">
        <v>0.01</v>
      </c>
      <c r="AG29">
        <v>0.01</v>
      </c>
      <c r="AH29" t="e">
        <f t="shared" si="10"/>
        <v>#N/A</v>
      </c>
      <c r="AI29" t="e">
        <f t="shared" si="11"/>
        <v>#N/A</v>
      </c>
      <c r="AJ29" t="e">
        <f t="shared" si="12"/>
        <v>#N/A</v>
      </c>
      <c r="AK29" t="e">
        <f t="shared" si="13"/>
        <v>#N/A</v>
      </c>
      <c r="AL29" t="e">
        <f t="shared" si="14"/>
        <v>#N/A</v>
      </c>
      <c r="AM29" t="e">
        <f t="shared" si="15"/>
        <v>#N/A</v>
      </c>
      <c r="AO29" t="e">
        <f t="shared" si="16"/>
        <v>#N/A</v>
      </c>
      <c r="AP29" t="e">
        <f t="shared" si="17"/>
        <v>#N/A</v>
      </c>
      <c r="AQ29" t="e">
        <f t="shared" si="18"/>
        <v>#N/A</v>
      </c>
      <c r="AR29" t="e">
        <f t="shared" si="19"/>
        <v>#N/A</v>
      </c>
      <c r="AS29" t="e">
        <f t="shared" si="20"/>
        <v>#N/A</v>
      </c>
      <c r="AT29" t="e">
        <f t="shared" si="21"/>
        <v>#N/A</v>
      </c>
      <c r="AU29" t="e">
        <f t="shared" si="22"/>
        <v>#N/A</v>
      </c>
      <c r="AV29" t="e">
        <f t="shared" si="23"/>
        <v>#N/A</v>
      </c>
      <c r="AW29" t="e">
        <f t="shared" si="24"/>
        <v>#N/A</v>
      </c>
      <c r="AX29" t="e">
        <f t="shared" si="25"/>
        <v>#N/A</v>
      </c>
      <c r="AY29" t="e">
        <f t="shared" si="26"/>
        <v>#N/A</v>
      </c>
      <c r="AZ29" t="e">
        <f t="shared" si="27"/>
        <v>#N/A</v>
      </c>
    </row>
    <row r="30" spans="1:52" x14ac:dyDescent="0.3">
      <c r="A30" t="s">
        <v>26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0.06</v>
      </c>
      <c r="J30">
        <v>0.05</v>
      </c>
      <c r="K30">
        <v>0.74</v>
      </c>
      <c r="L30">
        <v>0.94</v>
      </c>
      <c r="M30">
        <v>1.18</v>
      </c>
      <c r="N30">
        <v>0.55000000000000004</v>
      </c>
      <c r="O30">
        <f t="shared" si="4"/>
        <v>0.06</v>
      </c>
      <c r="P30">
        <f t="shared" si="5"/>
        <v>0.05</v>
      </c>
      <c r="Q30">
        <f t="shared" si="6"/>
        <v>0.74</v>
      </c>
      <c r="R30">
        <f t="shared" si="7"/>
        <v>0.94</v>
      </c>
      <c r="S30">
        <f t="shared" si="8"/>
        <v>1.18</v>
      </c>
      <c r="T30">
        <f t="shared" si="9"/>
        <v>0.55000000000000004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0.05</v>
      </c>
      <c r="AC30">
        <v>0.09</v>
      </c>
      <c r="AD30">
        <v>1.03</v>
      </c>
      <c r="AE30">
        <v>3.26</v>
      </c>
      <c r="AF30">
        <v>4.2300000000000004</v>
      </c>
      <c r="AG30">
        <v>1.1399999999999999</v>
      </c>
      <c r="AH30">
        <f t="shared" si="10"/>
        <v>0.05</v>
      </c>
      <c r="AI30">
        <f t="shared" si="11"/>
        <v>0.09</v>
      </c>
      <c r="AJ30">
        <f t="shared" si="12"/>
        <v>1.03</v>
      </c>
      <c r="AK30">
        <f t="shared" si="13"/>
        <v>3.26</v>
      </c>
      <c r="AL30">
        <f t="shared" si="14"/>
        <v>4.2300000000000004</v>
      </c>
      <c r="AM30">
        <f t="shared" si="15"/>
        <v>1.1399999999999999</v>
      </c>
      <c r="AO30">
        <f t="shared" si="16"/>
        <v>0.06</v>
      </c>
      <c r="AP30">
        <f t="shared" si="17"/>
        <v>0.05</v>
      </c>
      <c r="AQ30">
        <f t="shared" si="18"/>
        <v>0.74</v>
      </c>
      <c r="AR30">
        <f t="shared" si="19"/>
        <v>0.94</v>
      </c>
      <c r="AS30">
        <f t="shared" si="20"/>
        <v>1.18</v>
      </c>
      <c r="AT30">
        <f t="shared" si="21"/>
        <v>0.55000000000000004</v>
      </c>
      <c r="AU30">
        <f t="shared" si="22"/>
        <v>0.05</v>
      </c>
      <c r="AV30">
        <f t="shared" si="23"/>
        <v>0.09</v>
      </c>
      <c r="AW30">
        <f t="shared" si="24"/>
        <v>1.03</v>
      </c>
      <c r="AX30">
        <f t="shared" si="25"/>
        <v>3.26</v>
      </c>
      <c r="AY30">
        <f t="shared" si="26"/>
        <v>4.2300000000000004</v>
      </c>
      <c r="AZ30">
        <f t="shared" si="27"/>
        <v>1.1399999999999999</v>
      </c>
    </row>
    <row r="31" spans="1:52" x14ac:dyDescent="0.3">
      <c r="A31" t="s">
        <v>27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0.15</v>
      </c>
      <c r="J31">
        <v>0.15</v>
      </c>
      <c r="K31">
        <v>1.07</v>
      </c>
      <c r="L31">
        <v>1.51</v>
      </c>
      <c r="M31">
        <v>2.2200000000000002</v>
      </c>
      <c r="N31">
        <v>1.72</v>
      </c>
      <c r="O31">
        <f t="shared" si="4"/>
        <v>0.15</v>
      </c>
      <c r="P31">
        <f t="shared" si="5"/>
        <v>0.15</v>
      </c>
      <c r="Q31">
        <f t="shared" si="6"/>
        <v>1.07</v>
      </c>
      <c r="R31">
        <f t="shared" si="7"/>
        <v>1.51</v>
      </c>
      <c r="S31">
        <f t="shared" si="8"/>
        <v>2.2200000000000002</v>
      </c>
      <c r="T31">
        <f t="shared" si="9"/>
        <v>1.72</v>
      </c>
      <c r="V31">
        <v>1</v>
      </c>
      <c r="W31">
        <v>1</v>
      </c>
      <c r="X31">
        <v>-1</v>
      </c>
      <c r="Y31">
        <v>1</v>
      </c>
      <c r="Z31">
        <v>1</v>
      </c>
      <c r="AA31">
        <v>-1</v>
      </c>
      <c r="AB31">
        <v>0.15</v>
      </c>
      <c r="AC31">
        <v>0.14000000000000001</v>
      </c>
      <c r="AD31">
        <v>2.2599999999999998</v>
      </c>
      <c r="AE31">
        <v>4.57</v>
      </c>
      <c r="AF31">
        <v>6.14</v>
      </c>
      <c r="AG31">
        <v>2</v>
      </c>
      <c r="AH31">
        <f t="shared" si="10"/>
        <v>0.15</v>
      </c>
      <c r="AI31">
        <f t="shared" si="11"/>
        <v>0.14000000000000001</v>
      </c>
      <c r="AJ31" t="e">
        <f t="shared" si="12"/>
        <v>#N/A</v>
      </c>
      <c r="AK31">
        <f t="shared" si="13"/>
        <v>4.57</v>
      </c>
      <c r="AL31">
        <f t="shared" si="14"/>
        <v>6.14</v>
      </c>
      <c r="AM31" t="e">
        <f t="shared" si="15"/>
        <v>#N/A</v>
      </c>
      <c r="AO31">
        <f t="shared" si="16"/>
        <v>0.15</v>
      </c>
      <c r="AP31">
        <f t="shared" si="17"/>
        <v>0.15</v>
      </c>
      <c r="AQ31" t="e">
        <f t="shared" si="18"/>
        <v>#N/A</v>
      </c>
      <c r="AR31">
        <f t="shared" si="19"/>
        <v>1.51</v>
      </c>
      <c r="AS31">
        <f t="shared" si="20"/>
        <v>2.2200000000000002</v>
      </c>
      <c r="AT31" t="e">
        <f t="shared" si="21"/>
        <v>#N/A</v>
      </c>
      <c r="AU31">
        <f t="shared" si="22"/>
        <v>0.15</v>
      </c>
      <c r="AV31">
        <f t="shared" si="23"/>
        <v>0.14000000000000001</v>
      </c>
      <c r="AW31" t="e">
        <f t="shared" si="24"/>
        <v>#N/A</v>
      </c>
      <c r="AX31">
        <f t="shared" si="25"/>
        <v>4.57</v>
      </c>
      <c r="AY31">
        <f t="shared" si="26"/>
        <v>6.14</v>
      </c>
      <c r="AZ31" t="e">
        <f t="shared" si="27"/>
        <v>#N/A</v>
      </c>
    </row>
    <row r="32" spans="1:52" x14ac:dyDescent="0.3">
      <c r="A32" t="s">
        <v>28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0.45</v>
      </c>
      <c r="J32">
        <v>0.27</v>
      </c>
      <c r="K32">
        <v>1.56</v>
      </c>
      <c r="L32">
        <v>1.28</v>
      </c>
      <c r="M32">
        <v>2.25</v>
      </c>
      <c r="N32">
        <v>1.72</v>
      </c>
      <c r="O32">
        <f t="shared" si="4"/>
        <v>0.45</v>
      </c>
      <c r="P32">
        <f t="shared" si="5"/>
        <v>0.27</v>
      </c>
      <c r="Q32">
        <f t="shared" si="6"/>
        <v>1.56</v>
      </c>
      <c r="R32">
        <f t="shared" si="7"/>
        <v>1.28</v>
      </c>
      <c r="S32">
        <f t="shared" si="8"/>
        <v>2.25</v>
      </c>
      <c r="T32">
        <f t="shared" si="9"/>
        <v>1.72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0.2</v>
      </c>
      <c r="AC32">
        <v>0.22</v>
      </c>
      <c r="AD32">
        <v>2.97</v>
      </c>
      <c r="AE32">
        <v>5.44</v>
      </c>
      <c r="AF32">
        <v>8.4600000000000009</v>
      </c>
      <c r="AG32">
        <v>2.93</v>
      </c>
      <c r="AH32">
        <f t="shared" si="10"/>
        <v>0.2</v>
      </c>
      <c r="AI32">
        <f t="shared" si="11"/>
        <v>0.22</v>
      </c>
      <c r="AJ32">
        <f t="shared" si="12"/>
        <v>2.97</v>
      </c>
      <c r="AK32">
        <f t="shared" si="13"/>
        <v>5.44</v>
      </c>
      <c r="AL32">
        <f t="shared" si="14"/>
        <v>8.4600000000000009</v>
      </c>
      <c r="AM32">
        <f t="shared" si="15"/>
        <v>2.93</v>
      </c>
      <c r="AO32">
        <f t="shared" si="16"/>
        <v>0.45</v>
      </c>
      <c r="AP32">
        <f t="shared" si="17"/>
        <v>0.27</v>
      </c>
      <c r="AQ32">
        <f t="shared" si="18"/>
        <v>1.56</v>
      </c>
      <c r="AR32">
        <f t="shared" si="19"/>
        <v>1.28</v>
      </c>
      <c r="AS32">
        <f t="shared" si="20"/>
        <v>2.25</v>
      </c>
      <c r="AT32">
        <f t="shared" si="21"/>
        <v>1.72</v>
      </c>
      <c r="AU32">
        <f t="shared" si="22"/>
        <v>0.2</v>
      </c>
      <c r="AV32">
        <f t="shared" si="23"/>
        <v>0.22</v>
      </c>
      <c r="AW32">
        <f t="shared" si="24"/>
        <v>2.97</v>
      </c>
      <c r="AX32">
        <f t="shared" si="25"/>
        <v>5.44</v>
      </c>
      <c r="AY32">
        <f t="shared" si="26"/>
        <v>8.4600000000000009</v>
      </c>
      <c r="AZ32">
        <f t="shared" si="27"/>
        <v>2.93</v>
      </c>
    </row>
    <row r="33" spans="1:52" x14ac:dyDescent="0.3">
      <c r="A33" t="s">
        <v>29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0.05</v>
      </c>
      <c r="J33">
        <v>0.03</v>
      </c>
      <c r="K33">
        <v>0.42</v>
      </c>
      <c r="L33">
        <v>0.75</v>
      </c>
      <c r="M33">
        <v>0.61</v>
      </c>
      <c r="N33">
        <v>0.66</v>
      </c>
      <c r="O33">
        <f t="shared" si="4"/>
        <v>0.05</v>
      </c>
      <c r="P33">
        <f t="shared" si="5"/>
        <v>0.03</v>
      </c>
      <c r="Q33">
        <f t="shared" si="6"/>
        <v>0.42</v>
      </c>
      <c r="R33">
        <f t="shared" si="7"/>
        <v>0.75</v>
      </c>
      <c r="S33">
        <f t="shared" si="8"/>
        <v>0.61</v>
      </c>
      <c r="T33">
        <f t="shared" si="9"/>
        <v>0.66</v>
      </c>
      <c r="V33">
        <v>1</v>
      </c>
      <c r="W33">
        <v>1</v>
      </c>
      <c r="X33">
        <v>-1</v>
      </c>
      <c r="Y33">
        <v>1</v>
      </c>
      <c r="Z33">
        <v>1</v>
      </c>
      <c r="AA33">
        <v>1</v>
      </c>
      <c r="AB33">
        <v>0.04</v>
      </c>
      <c r="AC33">
        <v>0.05</v>
      </c>
      <c r="AD33">
        <v>0.64</v>
      </c>
      <c r="AE33">
        <v>2.1800000000000002</v>
      </c>
      <c r="AF33">
        <v>1.68</v>
      </c>
      <c r="AG33">
        <v>0.65</v>
      </c>
      <c r="AH33">
        <f t="shared" si="10"/>
        <v>0.04</v>
      </c>
      <c r="AI33">
        <f t="shared" si="11"/>
        <v>0.05</v>
      </c>
      <c r="AJ33" t="e">
        <f t="shared" si="12"/>
        <v>#N/A</v>
      </c>
      <c r="AK33">
        <f t="shared" si="13"/>
        <v>2.1800000000000002</v>
      </c>
      <c r="AL33">
        <f t="shared" si="14"/>
        <v>1.68</v>
      </c>
      <c r="AM33">
        <f t="shared" si="15"/>
        <v>0.65</v>
      </c>
      <c r="AO33">
        <f t="shared" si="16"/>
        <v>0.05</v>
      </c>
      <c r="AP33">
        <f t="shared" si="17"/>
        <v>0.03</v>
      </c>
      <c r="AQ33" t="e">
        <f t="shared" si="18"/>
        <v>#N/A</v>
      </c>
      <c r="AR33">
        <f t="shared" si="19"/>
        <v>0.75</v>
      </c>
      <c r="AS33">
        <f t="shared" si="20"/>
        <v>0.61</v>
      </c>
      <c r="AT33">
        <f t="shared" si="21"/>
        <v>0.66</v>
      </c>
      <c r="AU33">
        <f t="shared" si="22"/>
        <v>0.04</v>
      </c>
      <c r="AV33">
        <f t="shared" si="23"/>
        <v>0.05</v>
      </c>
      <c r="AW33" t="e">
        <f t="shared" si="24"/>
        <v>#N/A</v>
      </c>
      <c r="AX33">
        <f t="shared" si="25"/>
        <v>2.1800000000000002</v>
      </c>
      <c r="AY33">
        <f t="shared" si="26"/>
        <v>1.68</v>
      </c>
      <c r="AZ33">
        <f t="shared" si="27"/>
        <v>0.65</v>
      </c>
    </row>
    <row r="34" spans="1:52" x14ac:dyDescent="0.3">
      <c r="A34" t="s">
        <v>30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0.12</v>
      </c>
      <c r="J34">
        <v>0.32</v>
      </c>
      <c r="K34">
        <v>0.48</v>
      </c>
      <c r="L34">
        <v>0.56999999999999995</v>
      </c>
      <c r="M34">
        <v>0.52</v>
      </c>
      <c r="N34">
        <v>0.44</v>
      </c>
      <c r="O34">
        <f t="shared" si="4"/>
        <v>0.12</v>
      </c>
      <c r="P34">
        <f t="shared" si="5"/>
        <v>0.32</v>
      </c>
      <c r="Q34">
        <f t="shared" si="6"/>
        <v>0.48</v>
      </c>
      <c r="R34">
        <f t="shared" si="7"/>
        <v>0.56999999999999995</v>
      </c>
      <c r="S34">
        <f t="shared" si="8"/>
        <v>0.52</v>
      </c>
      <c r="T34">
        <f t="shared" si="9"/>
        <v>0.44</v>
      </c>
      <c r="V34">
        <v>1</v>
      </c>
      <c r="W34">
        <v>1</v>
      </c>
      <c r="X34">
        <v>-1</v>
      </c>
      <c r="Y34">
        <v>1</v>
      </c>
      <c r="Z34">
        <v>1</v>
      </c>
      <c r="AA34">
        <v>1</v>
      </c>
      <c r="AB34">
        <v>0.09</v>
      </c>
      <c r="AC34">
        <v>0.14000000000000001</v>
      </c>
      <c r="AD34">
        <v>1.03</v>
      </c>
      <c r="AE34">
        <v>2.25</v>
      </c>
      <c r="AF34">
        <v>1.72</v>
      </c>
      <c r="AG34">
        <v>0.77</v>
      </c>
      <c r="AH34">
        <f t="shared" si="10"/>
        <v>0.09</v>
      </c>
      <c r="AI34">
        <f t="shared" si="11"/>
        <v>0.14000000000000001</v>
      </c>
      <c r="AJ34" t="e">
        <f t="shared" si="12"/>
        <v>#N/A</v>
      </c>
      <c r="AK34">
        <f t="shared" si="13"/>
        <v>2.25</v>
      </c>
      <c r="AL34">
        <f t="shared" si="14"/>
        <v>1.72</v>
      </c>
      <c r="AM34">
        <f t="shared" si="15"/>
        <v>0.77</v>
      </c>
      <c r="AO34">
        <f t="shared" si="16"/>
        <v>0.12</v>
      </c>
      <c r="AP34">
        <f t="shared" si="17"/>
        <v>0.32</v>
      </c>
      <c r="AQ34" t="e">
        <f t="shared" si="18"/>
        <v>#N/A</v>
      </c>
      <c r="AR34">
        <f t="shared" si="19"/>
        <v>0.56999999999999995</v>
      </c>
      <c r="AS34">
        <f t="shared" si="20"/>
        <v>0.52</v>
      </c>
      <c r="AT34">
        <f t="shared" si="21"/>
        <v>0.44</v>
      </c>
      <c r="AU34">
        <f t="shared" si="22"/>
        <v>0.09</v>
      </c>
      <c r="AV34">
        <f t="shared" si="23"/>
        <v>0.14000000000000001</v>
      </c>
      <c r="AW34" t="e">
        <f t="shared" si="24"/>
        <v>#N/A</v>
      </c>
      <c r="AX34">
        <f t="shared" si="25"/>
        <v>2.25</v>
      </c>
      <c r="AY34">
        <f t="shared" si="26"/>
        <v>1.72</v>
      </c>
      <c r="AZ34">
        <f t="shared" si="27"/>
        <v>0.77</v>
      </c>
    </row>
    <row r="35" spans="1:52" x14ac:dyDescent="0.3">
      <c r="A35" t="s">
        <v>31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0.13</v>
      </c>
      <c r="J35">
        <v>0.13</v>
      </c>
      <c r="K35">
        <v>0.63</v>
      </c>
      <c r="L35">
        <v>0.67</v>
      </c>
      <c r="M35">
        <v>0.85</v>
      </c>
      <c r="N35">
        <v>0.6</v>
      </c>
      <c r="O35">
        <f t="shared" si="4"/>
        <v>0.13</v>
      </c>
      <c r="P35">
        <f t="shared" si="5"/>
        <v>0.13</v>
      </c>
      <c r="Q35">
        <f t="shared" si="6"/>
        <v>0.63</v>
      </c>
      <c r="R35">
        <f t="shared" si="7"/>
        <v>0.67</v>
      </c>
      <c r="S35">
        <f t="shared" si="8"/>
        <v>0.85</v>
      </c>
      <c r="T35">
        <f t="shared" si="9"/>
        <v>0.6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0.13</v>
      </c>
      <c r="AC35">
        <v>0.1</v>
      </c>
      <c r="AD35">
        <v>0.79</v>
      </c>
      <c r="AE35">
        <v>2.2999999999999998</v>
      </c>
      <c r="AF35">
        <v>2.4900000000000002</v>
      </c>
      <c r="AG35">
        <v>1.02</v>
      </c>
      <c r="AH35">
        <f t="shared" si="10"/>
        <v>0.13</v>
      </c>
      <c r="AI35">
        <f t="shared" si="11"/>
        <v>0.1</v>
      </c>
      <c r="AJ35">
        <f t="shared" si="12"/>
        <v>0.79</v>
      </c>
      <c r="AK35">
        <f t="shared" si="13"/>
        <v>2.2999999999999998</v>
      </c>
      <c r="AL35">
        <f t="shared" si="14"/>
        <v>2.4900000000000002</v>
      </c>
      <c r="AM35">
        <f t="shared" si="15"/>
        <v>1.02</v>
      </c>
      <c r="AO35">
        <f t="shared" si="16"/>
        <v>0.13</v>
      </c>
      <c r="AP35">
        <f t="shared" si="17"/>
        <v>0.13</v>
      </c>
      <c r="AQ35">
        <f t="shared" si="18"/>
        <v>0.63</v>
      </c>
      <c r="AR35">
        <f t="shared" si="19"/>
        <v>0.67</v>
      </c>
      <c r="AS35">
        <f t="shared" si="20"/>
        <v>0.85</v>
      </c>
      <c r="AT35">
        <f t="shared" si="21"/>
        <v>0.6</v>
      </c>
      <c r="AU35">
        <f t="shared" si="22"/>
        <v>0.13</v>
      </c>
      <c r="AV35">
        <f t="shared" si="23"/>
        <v>0.1</v>
      </c>
      <c r="AW35">
        <f t="shared" si="24"/>
        <v>0.79</v>
      </c>
      <c r="AX35">
        <f t="shared" si="25"/>
        <v>2.2999999999999998</v>
      </c>
      <c r="AY35">
        <f t="shared" si="26"/>
        <v>2.4900000000000002</v>
      </c>
      <c r="AZ35">
        <f t="shared" si="27"/>
        <v>1.02</v>
      </c>
    </row>
    <row r="36" spans="1:52" x14ac:dyDescent="0.3">
      <c r="A36" t="s">
        <v>32</v>
      </c>
      <c r="C36">
        <v>-1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0.02</v>
      </c>
      <c r="J36">
        <v>0.02</v>
      </c>
      <c r="K36">
        <v>0.13</v>
      </c>
      <c r="L36">
        <v>0.17</v>
      </c>
      <c r="M36">
        <v>0.12</v>
      </c>
      <c r="N36">
        <v>0.1</v>
      </c>
      <c r="O36" t="e">
        <f t="shared" si="4"/>
        <v>#N/A</v>
      </c>
      <c r="P36" t="e">
        <f t="shared" si="5"/>
        <v>#N/A</v>
      </c>
      <c r="Q36" t="e">
        <f t="shared" si="6"/>
        <v>#N/A</v>
      </c>
      <c r="R36" t="e">
        <f t="shared" si="7"/>
        <v>#N/A</v>
      </c>
      <c r="S36" t="e">
        <f t="shared" si="8"/>
        <v>#N/A</v>
      </c>
      <c r="T36" t="e">
        <f t="shared" si="9"/>
        <v>#N/A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0.04</v>
      </c>
      <c r="AC36">
        <v>0.02</v>
      </c>
      <c r="AD36">
        <v>0.13</v>
      </c>
      <c r="AE36">
        <v>0.21</v>
      </c>
      <c r="AF36">
        <v>0.12</v>
      </c>
      <c r="AG36">
        <v>0.09</v>
      </c>
      <c r="AH36" t="e">
        <f t="shared" si="10"/>
        <v>#N/A</v>
      </c>
      <c r="AI36" t="e">
        <f t="shared" si="11"/>
        <v>#N/A</v>
      </c>
      <c r="AJ36" t="e">
        <f t="shared" si="12"/>
        <v>#N/A</v>
      </c>
      <c r="AK36" t="e">
        <f t="shared" si="13"/>
        <v>#N/A</v>
      </c>
      <c r="AL36" t="e">
        <f t="shared" si="14"/>
        <v>#N/A</v>
      </c>
      <c r="AM36" t="e">
        <f t="shared" si="15"/>
        <v>#N/A</v>
      </c>
      <c r="AO36" t="e">
        <f t="shared" si="16"/>
        <v>#N/A</v>
      </c>
      <c r="AP36" t="e">
        <f t="shared" si="17"/>
        <v>#N/A</v>
      </c>
      <c r="AQ36" t="e">
        <f t="shared" si="18"/>
        <v>#N/A</v>
      </c>
      <c r="AR36" t="e">
        <f t="shared" si="19"/>
        <v>#N/A</v>
      </c>
      <c r="AS36" t="e">
        <f t="shared" si="20"/>
        <v>#N/A</v>
      </c>
      <c r="AT36" t="e">
        <f t="shared" si="21"/>
        <v>#N/A</v>
      </c>
      <c r="AU36" t="e">
        <f t="shared" si="22"/>
        <v>#N/A</v>
      </c>
      <c r="AV36" t="e">
        <f t="shared" si="23"/>
        <v>#N/A</v>
      </c>
      <c r="AW36" t="e">
        <f t="shared" si="24"/>
        <v>#N/A</v>
      </c>
      <c r="AX36" t="e">
        <f t="shared" si="25"/>
        <v>#N/A</v>
      </c>
      <c r="AY36" t="e">
        <f t="shared" si="26"/>
        <v>#N/A</v>
      </c>
      <c r="AZ36" t="e">
        <f t="shared" si="27"/>
        <v>#N/A</v>
      </c>
    </row>
    <row r="37" spans="1:52" x14ac:dyDescent="0.3">
      <c r="A37" t="s">
        <v>33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0.02</v>
      </c>
      <c r="J37">
        <v>0.02</v>
      </c>
      <c r="K37">
        <v>0.1</v>
      </c>
      <c r="L37">
        <v>0.18</v>
      </c>
      <c r="M37">
        <v>0.11</v>
      </c>
      <c r="N37">
        <v>0.1</v>
      </c>
      <c r="O37" t="e">
        <f t="shared" si="4"/>
        <v>#N/A</v>
      </c>
      <c r="P37" t="e">
        <f t="shared" si="5"/>
        <v>#N/A</v>
      </c>
      <c r="Q37" t="e">
        <f t="shared" si="6"/>
        <v>#N/A</v>
      </c>
      <c r="R37" t="e">
        <f t="shared" si="7"/>
        <v>#N/A</v>
      </c>
      <c r="S37" t="e">
        <f t="shared" si="8"/>
        <v>#N/A</v>
      </c>
      <c r="T37" t="e">
        <f t="shared" si="9"/>
        <v>#N/A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0.03</v>
      </c>
      <c r="AC37">
        <v>0.03</v>
      </c>
      <c r="AD37">
        <v>0.17</v>
      </c>
      <c r="AE37">
        <v>0.25</v>
      </c>
      <c r="AF37">
        <v>0.25</v>
      </c>
      <c r="AG37">
        <v>0.16</v>
      </c>
      <c r="AH37" t="e">
        <f t="shared" si="10"/>
        <v>#N/A</v>
      </c>
      <c r="AI37" t="e">
        <f t="shared" si="11"/>
        <v>#N/A</v>
      </c>
      <c r="AJ37" t="e">
        <f t="shared" si="12"/>
        <v>#N/A</v>
      </c>
      <c r="AK37" t="e">
        <f t="shared" si="13"/>
        <v>#N/A</v>
      </c>
      <c r="AL37" t="e">
        <f t="shared" si="14"/>
        <v>#N/A</v>
      </c>
      <c r="AM37" t="e">
        <f t="shared" si="15"/>
        <v>#N/A</v>
      </c>
      <c r="AO37" t="e">
        <f t="shared" si="16"/>
        <v>#N/A</v>
      </c>
      <c r="AP37" t="e">
        <f t="shared" si="17"/>
        <v>#N/A</v>
      </c>
      <c r="AQ37" t="e">
        <f t="shared" si="18"/>
        <v>#N/A</v>
      </c>
      <c r="AR37" t="e">
        <f t="shared" si="19"/>
        <v>#N/A</v>
      </c>
      <c r="AS37" t="e">
        <f t="shared" si="20"/>
        <v>#N/A</v>
      </c>
      <c r="AT37" t="e">
        <f t="shared" si="21"/>
        <v>#N/A</v>
      </c>
      <c r="AU37" t="e">
        <f t="shared" si="22"/>
        <v>#N/A</v>
      </c>
      <c r="AV37" t="e">
        <f t="shared" si="23"/>
        <v>#N/A</v>
      </c>
      <c r="AW37" t="e">
        <f t="shared" si="24"/>
        <v>#N/A</v>
      </c>
      <c r="AX37" t="e">
        <f t="shared" si="25"/>
        <v>#N/A</v>
      </c>
      <c r="AY37" t="e">
        <f t="shared" si="26"/>
        <v>#N/A</v>
      </c>
      <c r="AZ37" t="e">
        <f t="shared" si="27"/>
        <v>#N/A</v>
      </c>
    </row>
    <row r="38" spans="1:52" x14ac:dyDescent="0.3">
      <c r="A38" t="s">
        <v>34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0.02</v>
      </c>
      <c r="J38">
        <v>0.02</v>
      </c>
      <c r="K38">
        <v>0.1</v>
      </c>
      <c r="L38">
        <v>0.18</v>
      </c>
      <c r="M38">
        <v>0.11</v>
      </c>
      <c r="N38">
        <v>0.14000000000000001</v>
      </c>
      <c r="O38" t="e">
        <f t="shared" si="4"/>
        <v>#N/A</v>
      </c>
      <c r="P38" t="e">
        <f t="shared" si="5"/>
        <v>#N/A</v>
      </c>
      <c r="Q38" t="e">
        <f t="shared" si="6"/>
        <v>#N/A</v>
      </c>
      <c r="R38" t="e">
        <f t="shared" si="7"/>
        <v>#N/A</v>
      </c>
      <c r="S38" t="e">
        <f t="shared" si="8"/>
        <v>#N/A</v>
      </c>
      <c r="T38" t="e">
        <f t="shared" si="9"/>
        <v>#N/A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0.03</v>
      </c>
      <c r="AC38">
        <v>0.02</v>
      </c>
      <c r="AD38">
        <v>0.15</v>
      </c>
      <c r="AE38">
        <v>0.23</v>
      </c>
      <c r="AF38">
        <v>0.3</v>
      </c>
      <c r="AG38">
        <v>0.16</v>
      </c>
      <c r="AH38" t="e">
        <f t="shared" si="10"/>
        <v>#N/A</v>
      </c>
      <c r="AI38" t="e">
        <f t="shared" si="11"/>
        <v>#N/A</v>
      </c>
      <c r="AJ38" t="e">
        <f t="shared" si="12"/>
        <v>#N/A</v>
      </c>
      <c r="AK38" t="e">
        <f t="shared" si="13"/>
        <v>#N/A</v>
      </c>
      <c r="AL38" t="e">
        <f t="shared" si="14"/>
        <v>#N/A</v>
      </c>
      <c r="AM38" t="e">
        <f t="shared" si="15"/>
        <v>#N/A</v>
      </c>
      <c r="AO38" t="e">
        <f t="shared" si="16"/>
        <v>#N/A</v>
      </c>
      <c r="AP38" t="e">
        <f t="shared" si="17"/>
        <v>#N/A</v>
      </c>
      <c r="AQ38" t="e">
        <f t="shared" si="18"/>
        <v>#N/A</v>
      </c>
      <c r="AR38" t="e">
        <f t="shared" si="19"/>
        <v>#N/A</v>
      </c>
      <c r="AS38" t="e">
        <f t="shared" si="20"/>
        <v>#N/A</v>
      </c>
      <c r="AT38" t="e">
        <f t="shared" si="21"/>
        <v>#N/A</v>
      </c>
      <c r="AU38" t="e">
        <f t="shared" si="22"/>
        <v>#N/A</v>
      </c>
      <c r="AV38" t="e">
        <f t="shared" si="23"/>
        <v>#N/A</v>
      </c>
      <c r="AW38" t="e">
        <f t="shared" si="24"/>
        <v>#N/A</v>
      </c>
      <c r="AX38" t="e">
        <f t="shared" si="25"/>
        <v>#N/A</v>
      </c>
      <c r="AY38" t="e">
        <f t="shared" si="26"/>
        <v>#N/A</v>
      </c>
      <c r="AZ38" t="e">
        <f t="shared" si="27"/>
        <v>#N/A</v>
      </c>
    </row>
    <row r="39" spans="1:52" x14ac:dyDescent="0.3">
      <c r="A39" t="s">
        <v>35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0.01</v>
      </c>
      <c r="J39">
        <v>0</v>
      </c>
      <c r="K39">
        <v>0.08</v>
      </c>
      <c r="L39">
        <v>7.0000000000000007E-2</v>
      </c>
      <c r="M39">
        <v>0.1</v>
      </c>
      <c r="N39">
        <v>0.06</v>
      </c>
      <c r="O39">
        <f t="shared" si="4"/>
        <v>0.01</v>
      </c>
      <c r="P39">
        <f t="shared" si="5"/>
        <v>0</v>
      </c>
      <c r="Q39">
        <f t="shared" si="6"/>
        <v>0.08</v>
      </c>
      <c r="R39">
        <f t="shared" si="7"/>
        <v>7.0000000000000007E-2</v>
      </c>
      <c r="S39">
        <f t="shared" si="8"/>
        <v>0.1</v>
      </c>
      <c r="T39">
        <f t="shared" si="9"/>
        <v>0.06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0.02</v>
      </c>
      <c r="AC39">
        <v>0.02</v>
      </c>
      <c r="AD39">
        <v>0.04</v>
      </c>
      <c r="AE39">
        <v>0.05</v>
      </c>
      <c r="AF39">
        <v>0.11</v>
      </c>
      <c r="AG39">
        <v>0.04</v>
      </c>
      <c r="AH39">
        <f t="shared" si="10"/>
        <v>0.02</v>
      </c>
      <c r="AI39">
        <f t="shared" si="11"/>
        <v>0.02</v>
      </c>
      <c r="AJ39">
        <f t="shared" si="12"/>
        <v>0.04</v>
      </c>
      <c r="AK39">
        <f t="shared" si="13"/>
        <v>0.05</v>
      </c>
      <c r="AL39">
        <f t="shared" si="14"/>
        <v>0.11</v>
      </c>
      <c r="AM39">
        <f t="shared" si="15"/>
        <v>0.04</v>
      </c>
      <c r="AO39">
        <f t="shared" si="16"/>
        <v>0.01</v>
      </c>
      <c r="AP39">
        <f t="shared" si="17"/>
        <v>0</v>
      </c>
      <c r="AQ39">
        <f t="shared" si="18"/>
        <v>0.08</v>
      </c>
      <c r="AR39">
        <f t="shared" si="19"/>
        <v>7.0000000000000007E-2</v>
      </c>
      <c r="AS39">
        <f t="shared" si="20"/>
        <v>0.1</v>
      </c>
      <c r="AT39">
        <f t="shared" si="21"/>
        <v>0.06</v>
      </c>
      <c r="AU39">
        <f t="shared" si="22"/>
        <v>0.02</v>
      </c>
      <c r="AV39">
        <f t="shared" si="23"/>
        <v>0.02</v>
      </c>
      <c r="AW39">
        <f t="shared" si="24"/>
        <v>0.04</v>
      </c>
      <c r="AX39">
        <f t="shared" si="25"/>
        <v>0.05</v>
      </c>
      <c r="AY39">
        <f t="shared" si="26"/>
        <v>0.11</v>
      </c>
      <c r="AZ39">
        <f t="shared" si="27"/>
        <v>0.04</v>
      </c>
    </row>
    <row r="40" spans="1:52" x14ac:dyDescent="0.3">
      <c r="A40" t="s">
        <v>36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0.03</v>
      </c>
      <c r="J40">
        <v>0.01</v>
      </c>
      <c r="K40">
        <v>0.35</v>
      </c>
      <c r="L40">
        <v>0.17</v>
      </c>
      <c r="M40">
        <v>0.42</v>
      </c>
      <c r="N40">
        <v>0.39</v>
      </c>
      <c r="O40">
        <f t="shared" si="4"/>
        <v>0.03</v>
      </c>
      <c r="P40">
        <f t="shared" si="5"/>
        <v>0.01</v>
      </c>
      <c r="Q40">
        <f t="shared" si="6"/>
        <v>0.35</v>
      </c>
      <c r="R40">
        <f t="shared" si="7"/>
        <v>0.17</v>
      </c>
      <c r="S40">
        <f t="shared" si="8"/>
        <v>0.42</v>
      </c>
      <c r="T40">
        <f t="shared" si="9"/>
        <v>0.39</v>
      </c>
      <c r="V40">
        <v>1</v>
      </c>
      <c r="W40">
        <v>1</v>
      </c>
      <c r="X40">
        <v>-1</v>
      </c>
      <c r="Y40">
        <v>1</v>
      </c>
      <c r="Z40">
        <v>1</v>
      </c>
      <c r="AA40">
        <v>-1</v>
      </c>
      <c r="AB40">
        <v>0.04</v>
      </c>
      <c r="AC40">
        <v>0.02</v>
      </c>
      <c r="AD40">
        <v>0.16</v>
      </c>
      <c r="AE40">
        <v>0.22</v>
      </c>
      <c r="AF40">
        <v>0.21</v>
      </c>
      <c r="AG40">
        <v>0.13</v>
      </c>
      <c r="AH40">
        <f t="shared" si="10"/>
        <v>0.04</v>
      </c>
      <c r="AI40">
        <f t="shared" si="11"/>
        <v>0.02</v>
      </c>
      <c r="AJ40" t="e">
        <f t="shared" si="12"/>
        <v>#N/A</v>
      </c>
      <c r="AK40">
        <f t="shared" si="13"/>
        <v>0.22</v>
      </c>
      <c r="AL40">
        <f t="shared" si="14"/>
        <v>0.21</v>
      </c>
      <c r="AM40" t="e">
        <f t="shared" si="15"/>
        <v>#N/A</v>
      </c>
      <c r="AO40">
        <f t="shared" si="16"/>
        <v>0.03</v>
      </c>
      <c r="AP40">
        <f t="shared" si="17"/>
        <v>0.01</v>
      </c>
      <c r="AQ40" t="e">
        <f t="shared" si="18"/>
        <v>#N/A</v>
      </c>
      <c r="AR40">
        <f t="shared" si="19"/>
        <v>0.17</v>
      </c>
      <c r="AS40">
        <f t="shared" si="20"/>
        <v>0.42</v>
      </c>
      <c r="AT40" t="e">
        <f t="shared" si="21"/>
        <v>#N/A</v>
      </c>
      <c r="AU40">
        <f t="shared" si="22"/>
        <v>0.04</v>
      </c>
      <c r="AV40">
        <f t="shared" si="23"/>
        <v>0.02</v>
      </c>
      <c r="AW40" t="e">
        <f t="shared" si="24"/>
        <v>#N/A</v>
      </c>
      <c r="AX40">
        <f t="shared" si="25"/>
        <v>0.22</v>
      </c>
      <c r="AY40">
        <f t="shared" si="26"/>
        <v>0.21</v>
      </c>
      <c r="AZ40" t="e">
        <f t="shared" si="27"/>
        <v>#N/A</v>
      </c>
    </row>
    <row r="41" spans="1:52" x14ac:dyDescent="0.3">
      <c r="A41" t="s">
        <v>37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0.04</v>
      </c>
      <c r="J41">
        <v>0.01</v>
      </c>
      <c r="K41">
        <v>0.26</v>
      </c>
      <c r="L41">
        <v>0.35</v>
      </c>
      <c r="M41">
        <v>0.52</v>
      </c>
      <c r="N41">
        <v>0.32</v>
      </c>
      <c r="O41">
        <f t="shared" si="4"/>
        <v>0.04</v>
      </c>
      <c r="P41">
        <f t="shared" si="5"/>
        <v>0.01</v>
      </c>
      <c r="Q41">
        <f t="shared" si="6"/>
        <v>0.26</v>
      </c>
      <c r="R41">
        <f t="shared" si="7"/>
        <v>0.35</v>
      </c>
      <c r="S41">
        <f t="shared" si="8"/>
        <v>0.52</v>
      </c>
      <c r="T41">
        <f t="shared" si="9"/>
        <v>0.32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0.05</v>
      </c>
      <c r="AC41">
        <v>0.01</v>
      </c>
      <c r="AD41">
        <v>0.15</v>
      </c>
      <c r="AE41">
        <v>0.38</v>
      </c>
      <c r="AF41">
        <v>0.3</v>
      </c>
      <c r="AG41">
        <v>0.14000000000000001</v>
      </c>
      <c r="AH41">
        <f t="shared" si="10"/>
        <v>0.05</v>
      </c>
      <c r="AI41">
        <f t="shared" si="11"/>
        <v>0.01</v>
      </c>
      <c r="AJ41">
        <f t="shared" si="12"/>
        <v>0.15</v>
      </c>
      <c r="AK41">
        <f t="shared" si="13"/>
        <v>0.38</v>
      </c>
      <c r="AL41">
        <f t="shared" si="14"/>
        <v>0.3</v>
      </c>
      <c r="AM41">
        <f t="shared" si="15"/>
        <v>0.14000000000000001</v>
      </c>
      <c r="AO41">
        <f t="shared" si="16"/>
        <v>0.04</v>
      </c>
      <c r="AP41">
        <f t="shared" si="17"/>
        <v>0.01</v>
      </c>
      <c r="AQ41">
        <f t="shared" si="18"/>
        <v>0.26</v>
      </c>
      <c r="AR41">
        <f t="shared" si="19"/>
        <v>0.35</v>
      </c>
      <c r="AS41">
        <f t="shared" si="20"/>
        <v>0.52</v>
      </c>
      <c r="AT41">
        <f t="shared" si="21"/>
        <v>0.32</v>
      </c>
      <c r="AU41">
        <f t="shared" si="22"/>
        <v>0.05</v>
      </c>
      <c r="AV41">
        <f t="shared" si="23"/>
        <v>0.01</v>
      </c>
      <c r="AW41">
        <f t="shared" si="24"/>
        <v>0.15</v>
      </c>
      <c r="AX41">
        <f t="shared" si="25"/>
        <v>0.38</v>
      </c>
      <c r="AY41">
        <f t="shared" si="26"/>
        <v>0.3</v>
      </c>
      <c r="AZ41">
        <f t="shared" si="27"/>
        <v>0.14000000000000001</v>
      </c>
    </row>
    <row r="42" spans="1:52" x14ac:dyDescent="0.3">
      <c r="A42" t="s">
        <v>38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0.03</v>
      </c>
      <c r="J42">
        <v>0.04</v>
      </c>
      <c r="K42">
        <v>0.41</v>
      </c>
      <c r="L42">
        <v>0.28999999999999998</v>
      </c>
      <c r="M42">
        <v>0.26</v>
      </c>
      <c r="N42">
        <v>0.5</v>
      </c>
      <c r="O42">
        <f t="shared" si="4"/>
        <v>0.03</v>
      </c>
      <c r="P42">
        <f t="shared" si="5"/>
        <v>0.04</v>
      </c>
      <c r="Q42">
        <f t="shared" si="6"/>
        <v>0.41</v>
      </c>
      <c r="R42">
        <f t="shared" si="7"/>
        <v>0.28999999999999998</v>
      </c>
      <c r="S42">
        <f t="shared" si="8"/>
        <v>0.26</v>
      </c>
      <c r="T42">
        <f t="shared" si="9"/>
        <v>0.5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7.0000000000000007E-2</v>
      </c>
      <c r="AC42">
        <v>7.0000000000000007E-2</v>
      </c>
      <c r="AD42">
        <v>0.45</v>
      </c>
      <c r="AE42">
        <v>0.41</v>
      </c>
      <c r="AF42">
        <v>0.33</v>
      </c>
      <c r="AG42">
        <v>0.43</v>
      </c>
      <c r="AH42">
        <f t="shared" si="10"/>
        <v>7.0000000000000007E-2</v>
      </c>
      <c r="AI42">
        <f t="shared" si="11"/>
        <v>7.0000000000000007E-2</v>
      </c>
      <c r="AJ42">
        <f t="shared" si="12"/>
        <v>0.45</v>
      </c>
      <c r="AK42">
        <f t="shared" si="13"/>
        <v>0.41</v>
      </c>
      <c r="AL42">
        <f t="shared" si="14"/>
        <v>0.33</v>
      </c>
      <c r="AM42">
        <f t="shared" si="15"/>
        <v>0.43</v>
      </c>
      <c r="AO42">
        <f t="shared" si="16"/>
        <v>0.03</v>
      </c>
      <c r="AP42">
        <f t="shared" si="17"/>
        <v>0.04</v>
      </c>
      <c r="AQ42">
        <f t="shared" si="18"/>
        <v>0.41</v>
      </c>
      <c r="AR42">
        <f t="shared" si="19"/>
        <v>0.28999999999999998</v>
      </c>
      <c r="AS42">
        <f t="shared" si="20"/>
        <v>0.26</v>
      </c>
      <c r="AT42">
        <f t="shared" si="21"/>
        <v>0.5</v>
      </c>
      <c r="AU42">
        <f t="shared" si="22"/>
        <v>7.0000000000000007E-2</v>
      </c>
      <c r="AV42">
        <f t="shared" si="23"/>
        <v>7.0000000000000007E-2</v>
      </c>
      <c r="AW42">
        <f t="shared" si="24"/>
        <v>0.45</v>
      </c>
      <c r="AX42">
        <f t="shared" si="25"/>
        <v>0.41</v>
      </c>
      <c r="AY42">
        <f t="shared" si="26"/>
        <v>0.33</v>
      </c>
      <c r="AZ42">
        <f t="shared" si="27"/>
        <v>0.43</v>
      </c>
    </row>
    <row r="43" spans="1:52" x14ac:dyDescent="0.3">
      <c r="A43" t="s">
        <v>39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0.24</v>
      </c>
      <c r="J43">
        <v>0.2</v>
      </c>
      <c r="K43">
        <v>0.7</v>
      </c>
      <c r="L43">
        <v>0.53</v>
      </c>
      <c r="M43">
        <v>0.7</v>
      </c>
      <c r="N43">
        <v>0.66</v>
      </c>
      <c r="O43">
        <f t="shared" si="4"/>
        <v>0.24</v>
      </c>
      <c r="P43">
        <f t="shared" si="5"/>
        <v>0.2</v>
      </c>
      <c r="Q43">
        <f t="shared" si="6"/>
        <v>0.7</v>
      </c>
      <c r="R43">
        <f t="shared" si="7"/>
        <v>0.53</v>
      </c>
      <c r="S43">
        <f t="shared" si="8"/>
        <v>0.7</v>
      </c>
      <c r="T43">
        <f t="shared" si="9"/>
        <v>0.66</v>
      </c>
      <c r="V43">
        <v>1</v>
      </c>
      <c r="W43">
        <v>1</v>
      </c>
      <c r="X43">
        <v>-1</v>
      </c>
      <c r="Y43">
        <v>1</v>
      </c>
      <c r="Z43">
        <v>1</v>
      </c>
      <c r="AA43">
        <v>1</v>
      </c>
      <c r="AB43">
        <v>0.15</v>
      </c>
      <c r="AC43">
        <v>0.19</v>
      </c>
      <c r="AD43">
        <v>0.71</v>
      </c>
      <c r="AE43">
        <v>0.8</v>
      </c>
      <c r="AF43">
        <v>1.1499999999999999</v>
      </c>
      <c r="AG43">
        <v>0.67</v>
      </c>
      <c r="AH43">
        <f t="shared" si="10"/>
        <v>0.15</v>
      </c>
      <c r="AI43">
        <f t="shared" si="11"/>
        <v>0.19</v>
      </c>
      <c r="AJ43" t="e">
        <f t="shared" si="12"/>
        <v>#N/A</v>
      </c>
      <c r="AK43">
        <f t="shared" si="13"/>
        <v>0.8</v>
      </c>
      <c r="AL43">
        <f t="shared" si="14"/>
        <v>1.1499999999999999</v>
      </c>
      <c r="AM43">
        <f t="shared" si="15"/>
        <v>0.67</v>
      </c>
      <c r="AO43">
        <f t="shared" si="16"/>
        <v>0.24</v>
      </c>
      <c r="AP43">
        <f t="shared" si="17"/>
        <v>0.2</v>
      </c>
      <c r="AQ43" t="e">
        <f t="shared" si="18"/>
        <v>#N/A</v>
      </c>
      <c r="AR43">
        <f t="shared" si="19"/>
        <v>0.53</v>
      </c>
      <c r="AS43">
        <f t="shared" si="20"/>
        <v>0.7</v>
      </c>
      <c r="AT43">
        <f t="shared" si="21"/>
        <v>0.66</v>
      </c>
      <c r="AU43">
        <f t="shared" si="22"/>
        <v>0.15</v>
      </c>
      <c r="AV43">
        <f t="shared" si="23"/>
        <v>0.19</v>
      </c>
      <c r="AW43" t="e">
        <f t="shared" si="24"/>
        <v>#N/A</v>
      </c>
      <c r="AX43">
        <f t="shared" si="25"/>
        <v>0.8</v>
      </c>
      <c r="AY43">
        <f t="shared" si="26"/>
        <v>1.1499999999999999</v>
      </c>
      <c r="AZ43">
        <f t="shared" si="27"/>
        <v>0.67</v>
      </c>
    </row>
    <row r="44" spans="1:52" x14ac:dyDescent="0.3">
      <c r="A44" t="s">
        <v>40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0.38</v>
      </c>
      <c r="J44">
        <v>0.14000000000000001</v>
      </c>
      <c r="K44">
        <v>0.66</v>
      </c>
      <c r="L44">
        <v>0.61</v>
      </c>
      <c r="M44">
        <v>0.83</v>
      </c>
      <c r="N44">
        <v>0.49</v>
      </c>
      <c r="O44">
        <f t="shared" si="4"/>
        <v>0.38</v>
      </c>
      <c r="P44">
        <f t="shared" si="5"/>
        <v>0.14000000000000001</v>
      </c>
      <c r="Q44">
        <f t="shared" si="6"/>
        <v>0.66</v>
      </c>
      <c r="R44">
        <f t="shared" si="7"/>
        <v>0.61</v>
      </c>
      <c r="S44">
        <f t="shared" si="8"/>
        <v>0.83</v>
      </c>
      <c r="T44">
        <f t="shared" si="9"/>
        <v>0.49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0.23</v>
      </c>
      <c r="AC44">
        <v>0.12</v>
      </c>
      <c r="AD44">
        <v>0.87</v>
      </c>
      <c r="AE44">
        <v>1.1299999999999999</v>
      </c>
      <c r="AF44">
        <v>0.9</v>
      </c>
      <c r="AG44">
        <v>0.84</v>
      </c>
      <c r="AH44">
        <f t="shared" si="10"/>
        <v>0.23</v>
      </c>
      <c r="AI44">
        <f t="shared" si="11"/>
        <v>0.12</v>
      </c>
      <c r="AJ44">
        <f t="shared" si="12"/>
        <v>0.87</v>
      </c>
      <c r="AK44">
        <f t="shared" si="13"/>
        <v>1.1299999999999999</v>
      </c>
      <c r="AL44">
        <f t="shared" si="14"/>
        <v>0.9</v>
      </c>
      <c r="AM44">
        <f t="shared" si="15"/>
        <v>0.84</v>
      </c>
      <c r="AO44">
        <f t="shared" si="16"/>
        <v>0.38</v>
      </c>
      <c r="AP44">
        <f t="shared" si="17"/>
        <v>0.14000000000000001</v>
      </c>
      <c r="AQ44">
        <f t="shared" si="18"/>
        <v>0.66</v>
      </c>
      <c r="AR44">
        <f t="shared" si="19"/>
        <v>0.61</v>
      </c>
      <c r="AS44">
        <f t="shared" si="20"/>
        <v>0.83</v>
      </c>
      <c r="AT44">
        <f t="shared" si="21"/>
        <v>0.49</v>
      </c>
      <c r="AU44">
        <f t="shared" si="22"/>
        <v>0.23</v>
      </c>
      <c r="AV44">
        <f t="shared" si="23"/>
        <v>0.12</v>
      </c>
      <c r="AW44">
        <f t="shared" si="24"/>
        <v>0.87</v>
      </c>
      <c r="AX44">
        <f t="shared" si="25"/>
        <v>1.1299999999999999</v>
      </c>
      <c r="AY44">
        <f t="shared" si="26"/>
        <v>0.9</v>
      </c>
      <c r="AZ44">
        <f t="shared" si="27"/>
        <v>0.84</v>
      </c>
    </row>
    <row r="45" spans="1:52" x14ac:dyDescent="0.3">
      <c r="A45" t="s">
        <v>41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0.13</v>
      </c>
      <c r="J45">
        <v>0.24</v>
      </c>
      <c r="K45">
        <v>2.02</v>
      </c>
      <c r="L45">
        <v>2.06</v>
      </c>
      <c r="M45">
        <v>2.0699999999999998</v>
      </c>
      <c r="N45">
        <v>2</v>
      </c>
      <c r="O45">
        <f t="shared" si="4"/>
        <v>0.13</v>
      </c>
      <c r="P45">
        <f t="shared" si="5"/>
        <v>0.24</v>
      </c>
      <c r="Q45">
        <f t="shared" si="6"/>
        <v>2.02</v>
      </c>
      <c r="R45">
        <f t="shared" si="7"/>
        <v>2.06</v>
      </c>
      <c r="S45">
        <f t="shared" si="8"/>
        <v>2.0699999999999998</v>
      </c>
      <c r="T45">
        <f t="shared" si="9"/>
        <v>2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0.18</v>
      </c>
      <c r="AC45">
        <v>0.14000000000000001</v>
      </c>
      <c r="AD45">
        <v>2.19</v>
      </c>
      <c r="AE45">
        <v>3.07</v>
      </c>
      <c r="AF45">
        <v>3.19</v>
      </c>
      <c r="AG45">
        <v>1.74</v>
      </c>
      <c r="AH45">
        <f t="shared" si="10"/>
        <v>0.18</v>
      </c>
      <c r="AI45">
        <f t="shared" si="11"/>
        <v>0.14000000000000001</v>
      </c>
      <c r="AJ45">
        <f t="shared" si="12"/>
        <v>2.19</v>
      </c>
      <c r="AK45">
        <f t="shared" si="13"/>
        <v>3.07</v>
      </c>
      <c r="AL45">
        <f t="shared" si="14"/>
        <v>3.19</v>
      </c>
      <c r="AM45">
        <f t="shared" si="15"/>
        <v>1.74</v>
      </c>
      <c r="AO45">
        <f t="shared" si="16"/>
        <v>0.13</v>
      </c>
      <c r="AP45">
        <f t="shared" si="17"/>
        <v>0.24</v>
      </c>
      <c r="AQ45">
        <f t="shared" si="18"/>
        <v>2.02</v>
      </c>
      <c r="AR45">
        <f t="shared" si="19"/>
        <v>2.06</v>
      </c>
      <c r="AS45">
        <f t="shared" si="20"/>
        <v>2.0699999999999998</v>
      </c>
      <c r="AT45">
        <f t="shared" si="21"/>
        <v>2</v>
      </c>
      <c r="AU45">
        <f t="shared" si="22"/>
        <v>0.18</v>
      </c>
      <c r="AV45">
        <f t="shared" si="23"/>
        <v>0.14000000000000001</v>
      </c>
      <c r="AW45">
        <f t="shared" si="24"/>
        <v>2.19</v>
      </c>
      <c r="AX45">
        <f t="shared" si="25"/>
        <v>3.07</v>
      </c>
      <c r="AY45">
        <f t="shared" si="26"/>
        <v>3.19</v>
      </c>
      <c r="AZ45">
        <f t="shared" si="27"/>
        <v>1.74</v>
      </c>
    </row>
    <row r="46" spans="1:52" x14ac:dyDescent="0.3">
      <c r="A46" t="s">
        <v>42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0.28000000000000003</v>
      </c>
      <c r="J46">
        <v>0.53</v>
      </c>
      <c r="K46">
        <v>2.5499999999999998</v>
      </c>
      <c r="L46">
        <v>1.9</v>
      </c>
      <c r="M46">
        <v>2.62</v>
      </c>
      <c r="N46">
        <v>2.4500000000000002</v>
      </c>
      <c r="O46">
        <f t="shared" si="4"/>
        <v>0.28000000000000003</v>
      </c>
      <c r="P46">
        <f t="shared" si="5"/>
        <v>0.53</v>
      </c>
      <c r="Q46">
        <f t="shared" si="6"/>
        <v>2.5499999999999998</v>
      </c>
      <c r="R46">
        <f t="shared" si="7"/>
        <v>1.9</v>
      </c>
      <c r="S46">
        <f t="shared" si="8"/>
        <v>2.62</v>
      </c>
      <c r="T46">
        <f t="shared" si="9"/>
        <v>2.4500000000000002</v>
      </c>
      <c r="V46">
        <v>1</v>
      </c>
      <c r="W46">
        <v>1</v>
      </c>
      <c r="X46">
        <v>1</v>
      </c>
      <c r="Y46">
        <v>1</v>
      </c>
      <c r="Z46">
        <v>1</v>
      </c>
      <c r="AA46">
        <v>-1</v>
      </c>
      <c r="AB46">
        <v>0.31</v>
      </c>
      <c r="AC46">
        <v>0.33</v>
      </c>
      <c r="AD46">
        <v>1.93</v>
      </c>
      <c r="AE46">
        <v>3.5</v>
      </c>
      <c r="AF46">
        <v>4.28</v>
      </c>
      <c r="AG46">
        <v>2.13</v>
      </c>
      <c r="AH46">
        <f t="shared" si="10"/>
        <v>0.31</v>
      </c>
      <c r="AI46">
        <f t="shared" si="11"/>
        <v>0.33</v>
      </c>
      <c r="AJ46">
        <f t="shared" si="12"/>
        <v>1.93</v>
      </c>
      <c r="AK46">
        <f t="shared" si="13"/>
        <v>3.5</v>
      </c>
      <c r="AL46">
        <f t="shared" si="14"/>
        <v>4.28</v>
      </c>
      <c r="AM46" t="e">
        <f t="shared" si="15"/>
        <v>#N/A</v>
      </c>
      <c r="AO46">
        <f t="shared" si="16"/>
        <v>0.28000000000000003</v>
      </c>
      <c r="AP46">
        <f t="shared" si="17"/>
        <v>0.53</v>
      </c>
      <c r="AQ46">
        <f t="shared" si="18"/>
        <v>2.5499999999999998</v>
      </c>
      <c r="AR46">
        <f t="shared" si="19"/>
        <v>1.9</v>
      </c>
      <c r="AS46">
        <f t="shared" si="20"/>
        <v>2.62</v>
      </c>
      <c r="AT46" t="e">
        <f t="shared" si="21"/>
        <v>#N/A</v>
      </c>
      <c r="AU46">
        <f t="shared" si="22"/>
        <v>0.31</v>
      </c>
      <c r="AV46">
        <f t="shared" si="23"/>
        <v>0.33</v>
      </c>
      <c r="AW46">
        <f t="shared" si="24"/>
        <v>1.93</v>
      </c>
      <c r="AX46">
        <f t="shared" si="25"/>
        <v>3.5</v>
      </c>
      <c r="AY46">
        <f t="shared" si="26"/>
        <v>4.28</v>
      </c>
      <c r="AZ46" t="e">
        <f t="shared" si="27"/>
        <v>#N/A</v>
      </c>
    </row>
    <row r="47" spans="1:52" x14ac:dyDescent="0.3">
      <c r="A47" t="s">
        <v>43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0.4</v>
      </c>
      <c r="J47">
        <v>0.33</v>
      </c>
      <c r="K47">
        <v>2.06</v>
      </c>
      <c r="L47">
        <v>1.1000000000000001</v>
      </c>
      <c r="M47">
        <v>2.5099999999999998</v>
      </c>
      <c r="N47">
        <v>1.38</v>
      </c>
      <c r="O47">
        <f t="shared" si="4"/>
        <v>0.4</v>
      </c>
      <c r="P47">
        <f t="shared" si="5"/>
        <v>0.33</v>
      </c>
      <c r="Q47">
        <f t="shared" si="6"/>
        <v>2.06</v>
      </c>
      <c r="R47">
        <f t="shared" si="7"/>
        <v>1.1000000000000001</v>
      </c>
      <c r="S47">
        <f t="shared" si="8"/>
        <v>2.5099999999999998</v>
      </c>
      <c r="T47">
        <f t="shared" si="9"/>
        <v>1.38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0.41</v>
      </c>
      <c r="AC47">
        <v>0.32</v>
      </c>
      <c r="AD47">
        <v>2.82</v>
      </c>
      <c r="AE47">
        <v>3.87</v>
      </c>
      <c r="AF47">
        <v>4.2300000000000004</v>
      </c>
      <c r="AG47">
        <v>1.84</v>
      </c>
      <c r="AH47">
        <f t="shared" si="10"/>
        <v>0.41</v>
      </c>
      <c r="AI47">
        <f t="shared" si="11"/>
        <v>0.32</v>
      </c>
      <c r="AJ47">
        <f t="shared" si="12"/>
        <v>2.82</v>
      </c>
      <c r="AK47">
        <f t="shared" si="13"/>
        <v>3.87</v>
      </c>
      <c r="AL47">
        <f t="shared" si="14"/>
        <v>4.2300000000000004</v>
      </c>
      <c r="AM47">
        <f t="shared" si="15"/>
        <v>1.84</v>
      </c>
      <c r="AO47">
        <f t="shared" si="16"/>
        <v>0.4</v>
      </c>
      <c r="AP47">
        <f t="shared" si="17"/>
        <v>0.33</v>
      </c>
      <c r="AQ47">
        <f t="shared" si="18"/>
        <v>2.06</v>
      </c>
      <c r="AR47">
        <f t="shared" si="19"/>
        <v>1.1000000000000001</v>
      </c>
      <c r="AS47">
        <f t="shared" si="20"/>
        <v>2.5099999999999998</v>
      </c>
      <c r="AT47">
        <f t="shared" si="21"/>
        <v>1.38</v>
      </c>
      <c r="AU47">
        <f t="shared" si="22"/>
        <v>0.41</v>
      </c>
      <c r="AV47">
        <f t="shared" si="23"/>
        <v>0.32</v>
      </c>
      <c r="AW47">
        <f t="shared" si="24"/>
        <v>2.82</v>
      </c>
      <c r="AX47">
        <f t="shared" si="25"/>
        <v>3.87</v>
      </c>
      <c r="AY47">
        <f t="shared" si="26"/>
        <v>4.2300000000000004</v>
      </c>
      <c r="AZ47">
        <f t="shared" si="27"/>
        <v>1.84</v>
      </c>
    </row>
    <row r="48" spans="1:52" x14ac:dyDescent="0.3">
      <c r="A48" t="s">
        <v>44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0.09</v>
      </c>
      <c r="J48">
        <v>0.04</v>
      </c>
      <c r="K48">
        <v>1.51</v>
      </c>
      <c r="L48">
        <v>2.12</v>
      </c>
      <c r="M48">
        <v>3.03</v>
      </c>
      <c r="N48">
        <v>2.5099999999999998</v>
      </c>
      <c r="O48">
        <f t="shared" si="4"/>
        <v>0.09</v>
      </c>
      <c r="P48">
        <f t="shared" si="5"/>
        <v>0.04</v>
      </c>
      <c r="Q48">
        <f t="shared" si="6"/>
        <v>1.51</v>
      </c>
      <c r="R48">
        <f t="shared" si="7"/>
        <v>2.12</v>
      </c>
      <c r="S48">
        <f t="shared" si="8"/>
        <v>3.03</v>
      </c>
      <c r="T48">
        <f t="shared" si="9"/>
        <v>2.5099999999999998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0.06</v>
      </c>
      <c r="AC48">
        <v>0.04</v>
      </c>
      <c r="AD48">
        <v>1.22</v>
      </c>
      <c r="AE48">
        <v>1.46</v>
      </c>
      <c r="AF48">
        <v>2.25</v>
      </c>
      <c r="AG48">
        <v>1.31</v>
      </c>
      <c r="AH48">
        <f t="shared" si="10"/>
        <v>0.06</v>
      </c>
      <c r="AI48">
        <f t="shared" si="11"/>
        <v>0.04</v>
      </c>
      <c r="AJ48">
        <f t="shared" si="12"/>
        <v>1.22</v>
      </c>
      <c r="AK48">
        <f t="shared" si="13"/>
        <v>1.46</v>
      </c>
      <c r="AL48">
        <f t="shared" si="14"/>
        <v>2.25</v>
      </c>
      <c r="AM48">
        <f t="shared" si="15"/>
        <v>1.31</v>
      </c>
      <c r="AO48">
        <f t="shared" si="16"/>
        <v>0.09</v>
      </c>
      <c r="AP48">
        <f t="shared" si="17"/>
        <v>0.04</v>
      </c>
      <c r="AQ48">
        <f t="shared" si="18"/>
        <v>1.51</v>
      </c>
      <c r="AR48">
        <f t="shared" si="19"/>
        <v>2.12</v>
      </c>
      <c r="AS48">
        <f t="shared" si="20"/>
        <v>3.03</v>
      </c>
      <c r="AT48">
        <f t="shared" si="21"/>
        <v>2.5099999999999998</v>
      </c>
      <c r="AU48">
        <f t="shared" si="22"/>
        <v>0.06</v>
      </c>
      <c r="AV48">
        <f t="shared" si="23"/>
        <v>0.04</v>
      </c>
      <c r="AW48">
        <f t="shared" si="24"/>
        <v>1.22</v>
      </c>
      <c r="AX48">
        <f t="shared" si="25"/>
        <v>1.46</v>
      </c>
      <c r="AY48">
        <f t="shared" si="26"/>
        <v>2.25</v>
      </c>
      <c r="AZ48">
        <f t="shared" si="27"/>
        <v>1.31</v>
      </c>
    </row>
    <row r="49" spans="1:52" x14ac:dyDescent="0.3">
      <c r="A49" t="s">
        <v>45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0.33</v>
      </c>
      <c r="J49">
        <v>0.1</v>
      </c>
      <c r="K49">
        <v>3.78</v>
      </c>
      <c r="L49">
        <v>1.1599999999999999</v>
      </c>
      <c r="M49">
        <v>5.56</v>
      </c>
      <c r="N49">
        <v>4.29</v>
      </c>
      <c r="O49">
        <f t="shared" si="4"/>
        <v>0.33</v>
      </c>
      <c r="P49">
        <f t="shared" si="5"/>
        <v>0.1</v>
      </c>
      <c r="Q49">
        <f t="shared" si="6"/>
        <v>3.78</v>
      </c>
      <c r="R49">
        <f t="shared" si="7"/>
        <v>1.1599999999999999</v>
      </c>
      <c r="S49">
        <f t="shared" si="8"/>
        <v>5.56</v>
      </c>
      <c r="T49">
        <f t="shared" si="9"/>
        <v>4.29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0.27</v>
      </c>
      <c r="AC49">
        <v>0.17</v>
      </c>
      <c r="AD49">
        <v>4.03</v>
      </c>
      <c r="AE49">
        <v>3.92</v>
      </c>
      <c r="AF49">
        <v>8.3699999999999992</v>
      </c>
      <c r="AG49">
        <v>2.4900000000000002</v>
      </c>
      <c r="AH49">
        <f t="shared" si="10"/>
        <v>0.27</v>
      </c>
      <c r="AI49">
        <f t="shared" si="11"/>
        <v>0.17</v>
      </c>
      <c r="AJ49">
        <f t="shared" si="12"/>
        <v>4.03</v>
      </c>
      <c r="AK49">
        <f t="shared" si="13"/>
        <v>3.92</v>
      </c>
      <c r="AL49">
        <f t="shared" si="14"/>
        <v>8.3699999999999992</v>
      </c>
      <c r="AM49">
        <f t="shared" si="15"/>
        <v>2.4900000000000002</v>
      </c>
      <c r="AO49">
        <f t="shared" si="16"/>
        <v>0.33</v>
      </c>
      <c r="AP49">
        <f t="shared" si="17"/>
        <v>0.1</v>
      </c>
      <c r="AQ49">
        <f t="shared" si="18"/>
        <v>3.78</v>
      </c>
      <c r="AR49">
        <f t="shared" si="19"/>
        <v>1.1599999999999999</v>
      </c>
      <c r="AS49">
        <f t="shared" si="20"/>
        <v>5.56</v>
      </c>
      <c r="AT49">
        <f t="shared" si="21"/>
        <v>4.29</v>
      </c>
      <c r="AU49">
        <f t="shared" si="22"/>
        <v>0.27</v>
      </c>
      <c r="AV49">
        <f t="shared" si="23"/>
        <v>0.17</v>
      </c>
      <c r="AW49">
        <f t="shared" si="24"/>
        <v>4.03</v>
      </c>
      <c r="AX49">
        <f t="shared" si="25"/>
        <v>3.92</v>
      </c>
      <c r="AY49">
        <f t="shared" si="26"/>
        <v>8.3699999999999992</v>
      </c>
      <c r="AZ49">
        <f t="shared" si="27"/>
        <v>2.4900000000000002</v>
      </c>
    </row>
    <row r="50" spans="1:52" x14ac:dyDescent="0.3">
      <c r="A50" t="s">
        <v>46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0.56000000000000005</v>
      </c>
      <c r="J50">
        <v>0.57999999999999996</v>
      </c>
      <c r="K50">
        <v>7.35</v>
      </c>
      <c r="L50">
        <v>5.14</v>
      </c>
      <c r="M50">
        <v>9.11</v>
      </c>
      <c r="N50">
        <v>8.84</v>
      </c>
      <c r="O50">
        <f t="shared" si="4"/>
        <v>0.56000000000000005</v>
      </c>
      <c r="P50">
        <f t="shared" si="5"/>
        <v>0.57999999999999996</v>
      </c>
      <c r="Q50">
        <f t="shared" si="6"/>
        <v>7.35</v>
      </c>
      <c r="R50">
        <f t="shared" si="7"/>
        <v>5.14</v>
      </c>
      <c r="S50">
        <f t="shared" si="8"/>
        <v>9.11</v>
      </c>
      <c r="T50">
        <f t="shared" si="9"/>
        <v>8.84</v>
      </c>
      <c r="V50">
        <v>1</v>
      </c>
      <c r="W50">
        <v>1</v>
      </c>
      <c r="X50">
        <v>1</v>
      </c>
      <c r="Y50">
        <v>1</v>
      </c>
      <c r="Z50">
        <v>-1</v>
      </c>
      <c r="AA50">
        <v>1</v>
      </c>
      <c r="AB50">
        <v>0.77</v>
      </c>
      <c r="AC50">
        <v>0.43</v>
      </c>
      <c r="AD50">
        <v>5.0999999999999996</v>
      </c>
      <c r="AE50">
        <v>12.15</v>
      </c>
      <c r="AF50">
        <v>15.16</v>
      </c>
      <c r="AG50">
        <v>5.92</v>
      </c>
      <c r="AH50">
        <f t="shared" si="10"/>
        <v>0.77</v>
      </c>
      <c r="AI50">
        <f t="shared" si="11"/>
        <v>0.43</v>
      </c>
      <c r="AJ50">
        <f t="shared" si="12"/>
        <v>5.0999999999999996</v>
      </c>
      <c r="AK50">
        <f t="shared" si="13"/>
        <v>12.15</v>
      </c>
      <c r="AL50" t="e">
        <f t="shared" si="14"/>
        <v>#N/A</v>
      </c>
      <c r="AM50">
        <f t="shared" si="15"/>
        <v>5.92</v>
      </c>
      <c r="AO50">
        <f t="shared" si="16"/>
        <v>0.56000000000000005</v>
      </c>
      <c r="AP50">
        <f t="shared" si="17"/>
        <v>0.57999999999999996</v>
      </c>
      <c r="AQ50">
        <f t="shared" si="18"/>
        <v>7.35</v>
      </c>
      <c r="AR50">
        <f t="shared" si="19"/>
        <v>5.14</v>
      </c>
      <c r="AS50" t="e">
        <f t="shared" si="20"/>
        <v>#N/A</v>
      </c>
      <c r="AT50">
        <f t="shared" si="21"/>
        <v>8.84</v>
      </c>
      <c r="AU50">
        <f t="shared" si="22"/>
        <v>0.77</v>
      </c>
      <c r="AV50">
        <f t="shared" si="23"/>
        <v>0.43</v>
      </c>
      <c r="AW50">
        <f t="shared" si="24"/>
        <v>5.0999999999999996</v>
      </c>
      <c r="AX50">
        <f t="shared" si="25"/>
        <v>12.15</v>
      </c>
      <c r="AY50" t="e">
        <f t="shared" si="26"/>
        <v>#N/A</v>
      </c>
      <c r="AZ50">
        <f t="shared" si="27"/>
        <v>5.92</v>
      </c>
    </row>
    <row r="51" spans="1:52" x14ac:dyDescent="0.3">
      <c r="A51" t="s">
        <v>47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0.17</v>
      </c>
      <c r="J51">
        <v>7.0000000000000007E-2</v>
      </c>
      <c r="K51">
        <v>2.76</v>
      </c>
      <c r="L51">
        <v>3.75</v>
      </c>
      <c r="M51">
        <v>5.8</v>
      </c>
      <c r="N51">
        <v>6.15</v>
      </c>
      <c r="O51">
        <f t="shared" si="4"/>
        <v>0.17</v>
      </c>
      <c r="P51">
        <f t="shared" si="5"/>
        <v>7.0000000000000007E-2</v>
      </c>
      <c r="Q51">
        <f t="shared" si="6"/>
        <v>2.76</v>
      </c>
      <c r="R51">
        <f t="shared" si="7"/>
        <v>3.75</v>
      </c>
      <c r="S51">
        <f t="shared" si="8"/>
        <v>5.8</v>
      </c>
      <c r="T51">
        <f t="shared" si="9"/>
        <v>6.15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0.13</v>
      </c>
      <c r="AC51">
        <v>0.11</v>
      </c>
      <c r="AD51">
        <v>4.1399999999999997</v>
      </c>
      <c r="AE51">
        <v>3.32</v>
      </c>
      <c r="AF51">
        <v>3.41</v>
      </c>
      <c r="AG51">
        <v>3.36</v>
      </c>
      <c r="AH51">
        <f t="shared" si="10"/>
        <v>0.13</v>
      </c>
      <c r="AI51">
        <f t="shared" si="11"/>
        <v>0.11</v>
      </c>
      <c r="AJ51">
        <f t="shared" si="12"/>
        <v>4.1399999999999997</v>
      </c>
      <c r="AK51">
        <f t="shared" si="13"/>
        <v>3.32</v>
      </c>
      <c r="AL51">
        <f t="shared" si="14"/>
        <v>3.41</v>
      </c>
      <c r="AM51">
        <f t="shared" si="15"/>
        <v>3.36</v>
      </c>
      <c r="AO51">
        <f t="shared" si="16"/>
        <v>0.17</v>
      </c>
      <c r="AP51">
        <f t="shared" si="17"/>
        <v>7.0000000000000007E-2</v>
      </c>
      <c r="AQ51">
        <f t="shared" si="18"/>
        <v>2.76</v>
      </c>
      <c r="AR51">
        <f t="shared" si="19"/>
        <v>3.75</v>
      </c>
      <c r="AS51">
        <f t="shared" si="20"/>
        <v>5.8</v>
      </c>
      <c r="AT51">
        <f t="shared" si="21"/>
        <v>6.15</v>
      </c>
      <c r="AU51">
        <f t="shared" si="22"/>
        <v>0.13</v>
      </c>
      <c r="AV51">
        <f t="shared" si="23"/>
        <v>0.11</v>
      </c>
      <c r="AW51">
        <f t="shared" si="24"/>
        <v>4.1399999999999997</v>
      </c>
      <c r="AX51">
        <f t="shared" si="25"/>
        <v>3.32</v>
      </c>
      <c r="AY51">
        <f t="shared" si="26"/>
        <v>3.41</v>
      </c>
      <c r="AZ51">
        <f t="shared" si="27"/>
        <v>3.36</v>
      </c>
    </row>
    <row r="52" spans="1:52" x14ac:dyDescent="0.3">
      <c r="A52" t="s">
        <v>48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0.8</v>
      </c>
      <c r="J52">
        <v>0.8</v>
      </c>
      <c r="K52">
        <v>13.35</v>
      </c>
      <c r="L52">
        <v>11.23</v>
      </c>
      <c r="M52">
        <v>28.11</v>
      </c>
      <c r="N52">
        <v>16.11</v>
      </c>
      <c r="O52">
        <f t="shared" si="4"/>
        <v>0.8</v>
      </c>
      <c r="P52">
        <f t="shared" si="5"/>
        <v>0.8</v>
      </c>
      <c r="Q52">
        <f t="shared" si="6"/>
        <v>13.35</v>
      </c>
      <c r="R52">
        <f t="shared" si="7"/>
        <v>11.23</v>
      </c>
      <c r="S52">
        <f t="shared" si="8"/>
        <v>28.11</v>
      </c>
      <c r="T52">
        <f t="shared" si="9"/>
        <v>16.11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0.68</v>
      </c>
      <c r="AC52">
        <v>0.73</v>
      </c>
      <c r="AD52">
        <v>18.09</v>
      </c>
      <c r="AE52">
        <v>23.8</v>
      </c>
      <c r="AF52">
        <v>44.45</v>
      </c>
      <c r="AG52">
        <v>23.64</v>
      </c>
      <c r="AH52">
        <f t="shared" si="10"/>
        <v>0.68</v>
      </c>
      <c r="AI52">
        <f t="shared" si="11"/>
        <v>0.73</v>
      </c>
      <c r="AJ52">
        <f t="shared" si="12"/>
        <v>18.09</v>
      </c>
      <c r="AK52">
        <f t="shared" si="13"/>
        <v>23.8</v>
      </c>
      <c r="AL52">
        <f t="shared" si="14"/>
        <v>44.45</v>
      </c>
      <c r="AM52">
        <f t="shared" si="15"/>
        <v>23.64</v>
      </c>
      <c r="AO52">
        <f t="shared" si="16"/>
        <v>0.8</v>
      </c>
      <c r="AP52">
        <f t="shared" si="17"/>
        <v>0.8</v>
      </c>
      <c r="AQ52">
        <f t="shared" si="18"/>
        <v>13.35</v>
      </c>
      <c r="AR52">
        <f t="shared" si="19"/>
        <v>11.23</v>
      </c>
      <c r="AS52">
        <f t="shared" si="20"/>
        <v>28.11</v>
      </c>
      <c r="AT52">
        <f t="shared" si="21"/>
        <v>16.11</v>
      </c>
      <c r="AU52">
        <f t="shared" si="22"/>
        <v>0.68</v>
      </c>
      <c r="AV52">
        <f t="shared" si="23"/>
        <v>0.73</v>
      </c>
      <c r="AW52">
        <f t="shared" si="24"/>
        <v>18.09</v>
      </c>
      <c r="AX52">
        <f t="shared" si="25"/>
        <v>23.8</v>
      </c>
      <c r="AY52">
        <f t="shared" si="26"/>
        <v>44.45</v>
      </c>
      <c r="AZ52">
        <f t="shared" si="27"/>
        <v>23.64</v>
      </c>
    </row>
    <row r="53" spans="1:52" x14ac:dyDescent="0.3">
      <c r="A53" t="s">
        <v>49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1.44</v>
      </c>
      <c r="J53">
        <v>2.34</v>
      </c>
      <c r="K53">
        <v>29.04</v>
      </c>
      <c r="L53">
        <v>28.13</v>
      </c>
      <c r="M53">
        <v>34.869999999999997</v>
      </c>
      <c r="N53">
        <v>46.77</v>
      </c>
      <c r="O53">
        <f t="shared" si="4"/>
        <v>1.44</v>
      </c>
      <c r="P53">
        <f t="shared" si="5"/>
        <v>2.34</v>
      </c>
      <c r="Q53">
        <f t="shared" si="6"/>
        <v>29.04</v>
      </c>
      <c r="R53">
        <f t="shared" si="7"/>
        <v>28.13</v>
      </c>
      <c r="S53">
        <f t="shared" si="8"/>
        <v>34.869999999999997</v>
      </c>
      <c r="T53">
        <f t="shared" si="9"/>
        <v>46.77</v>
      </c>
      <c r="V53">
        <v>1</v>
      </c>
      <c r="W53">
        <v>1</v>
      </c>
      <c r="X53">
        <v>1</v>
      </c>
      <c r="Y53">
        <v>1</v>
      </c>
      <c r="Z53">
        <v>-1</v>
      </c>
      <c r="AA53">
        <v>1</v>
      </c>
      <c r="AB53">
        <v>2.65</v>
      </c>
      <c r="AC53">
        <v>2.15</v>
      </c>
      <c r="AD53">
        <v>31.27</v>
      </c>
      <c r="AE53">
        <v>36.44</v>
      </c>
      <c r="AF53">
        <v>76.2</v>
      </c>
      <c r="AG53">
        <v>33.6</v>
      </c>
      <c r="AH53">
        <f t="shared" si="10"/>
        <v>2.65</v>
      </c>
      <c r="AI53">
        <f t="shared" si="11"/>
        <v>2.15</v>
      </c>
      <c r="AJ53">
        <f t="shared" si="12"/>
        <v>31.27</v>
      </c>
      <c r="AK53">
        <f t="shared" si="13"/>
        <v>36.44</v>
      </c>
      <c r="AL53" t="e">
        <f t="shared" si="14"/>
        <v>#N/A</v>
      </c>
      <c r="AM53">
        <f t="shared" si="15"/>
        <v>33.6</v>
      </c>
      <c r="AO53">
        <f t="shared" si="16"/>
        <v>1.44</v>
      </c>
      <c r="AP53">
        <f t="shared" si="17"/>
        <v>2.34</v>
      </c>
      <c r="AQ53">
        <f t="shared" si="18"/>
        <v>29.04</v>
      </c>
      <c r="AR53">
        <f t="shared" si="19"/>
        <v>28.13</v>
      </c>
      <c r="AS53" t="e">
        <f t="shared" si="20"/>
        <v>#N/A</v>
      </c>
      <c r="AT53">
        <f t="shared" si="21"/>
        <v>46.77</v>
      </c>
      <c r="AU53">
        <f t="shared" si="22"/>
        <v>2.65</v>
      </c>
      <c r="AV53">
        <f t="shared" si="23"/>
        <v>2.15</v>
      </c>
      <c r="AW53">
        <f t="shared" si="24"/>
        <v>31.27</v>
      </c>
      <c r="AX53">
        <f t="shared" si="25"/>
        <v>36.44</v>
      </c>
      <c r="AY53" t="e">
        <f t="shared" si="26"/>
        <v>#N/A</v>
      </c>
      <c r="AZ53">
        <f t="shared" si="27"/>
        <v>33.6</v>
      </c>
    </row>
    <row r="54" spans="1:52" x14ac:dyDescent="0.3">
      <c r="A54" t="s">
        <v>50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0.25</v>
      </c>
      <c r="J54">
        <v>0.21</v>
      </c>
      <c r="K54">
        <v>1.06</v>
      </c>
      <c r="L54">
        <v>1.29</v>
      </c>
      <c r="M54">
        <v>1.39</v>
      </c>
      <c r="N54">
        <v>1.04</v>
      </c>
      <c r="O54">
        <f t="shared" si="4"/>
        <v>0.25</v>
      </c>
      <c r="P54">
        <f t="shared" si="5"/>
        <v>0.21</v>
      </c>
      <c r="Q54">
        <f t="shared" si="6"/>
        <v>1.06</v>
      </c>
      <c r="R54">
        <f t="shared" si="7"/>
        <v>1.29</v>
      </c>
      <c r="S54">
        <f t="shared" si="8"/>
        <v>1.39</v>
      </c>
      <c r="T54">
        <f t="shared" si="9"/>
        <v>1.04</v>
      </c>
      <c r="V54">
        <v>1</v>
      </c>
      <c r="W54">
        <v>1</v>
      </c>
      <c r="X54">
        <v>-1</v>
      </c>
      <c r="Y54">
        <v>1</v>
      </c>
      <c r="Z54">
        <v>1</v>
      </c>
      <c r="AA54">
        <v>1</v>
      </c>
      <c r="AB54">
        <v>0.1</v>
      </c>
      <c r="AC54">
        <v>0.18</v>
      </c>
      <c r="AD54">
        <v>1.75</v>
      </c>
      <c r="AE54">
        <v>3.17</v>
      </c>
      <c r="AF54">
        <v>5.69</v>
      </c>
      <c r="AG54">
        <v>2.16</v>
      </c>
      <c r="AH54">
        <f t="shared" si="10"/>
        <v>0.1</v>
      </c>
      <c r="AI54">
        <f t="shared" si="11"/>
        <v>0.18</v>
      </c>
      <c r="AJ54" t="e">
        <f t="shared" si="12"/>
        <v>#N/A</v>
      </c>
      <c r="AK54">
        <f t="shared" si="13"/>
        <v>3.17</v>
      </c>
      <c r="AL54">
        <f t="shared" si="14"/>
        <v>5.69</v>
      </c>
      <c r="AM54">
        <f t="shared" si="15"/>
        <v>2.16</v>
      </c>
      <c r="AO54">
        <f t="shared" si="16"/>
        <v>0.25</v>
      </c>
      <c r="AP54">
        <f t="shared" si="17"/>
        <v>0.21</v>
      </c>
      <c r="AQ54" t="e">
        <f t="shared" si="18"/>
        <v>#N/A</v>
      </c>
      <c r="AR54">
        <f t="shared" si="19"/>
        <v>1.29</v>
      </c>
      <c r="AS54">
        <f t="shared" si="20"/>
        <v>1.39</v>
      </c>
      <c r="AT54">
        <f t="shared" si="21"/>
        <v>1.04</v>
      </c>
      <c r="AU54">
        <f t="shared" si="22"/>
        <v>0.1</v>
      </c>
      <c r="AV54">
        <f t="shared" si="23"/>
        <v>0.18</v>
      </c>
      <c r="AW54" t="e">
        <f t="shared" si="24"/>
        <v>#N/A</v>
      </c>
      <c r="AX54">
        <f t="shared" si="25"/>
        <v>3.17</v>
      </c>
      <c r="AY54">
        <f t="shared" si="26"/>
        <v>5.69</v>
      </c>
      <c r="AZ54">
        <f t="shared" si="27"/>
        <v>2.16</v>
      </c>
    </row>
    <row r="55" spans="1:52" x14ac:dyDescent="0.3">
      <c r="A55" t="s">
        <v>51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0.24</v>
      </c>
      <c r="J55">
        <v>0.32</v>
      </c>
      <c r="K55">
        <v>1.1100000000000001</v>
      </c>
      <c r="L55">
        <v>1.37</v>
      </c>
      <c r="M55">
        <v>1.77</v>
      </c>
      <c r="N55">
        <v>1.1499999999999999</v>
      </c>
      <c r="O55">
        <f t="shared" si="4"/>
        <v>0.24</v>
      </c>
      <c r="P55">
        <f t="shared" si="5"/>
        <v>0.32</v>
      </c>
      <c r="Q55">
        <f t="shared" si="6"/>
        <v>1.1100000000000001</v>
      </c>
      <c r="R55">
        <f t="shared" si="7"/>
        <v>1.37</v>
      </c>
      <c r="S55">
        <f t="shared" si="8"/>
        <v>1.77</v>
      </c>
      <c r="T55">
        <f t="shared" si="9"/>
        <v>1.1499999999999999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0.21</v>
      </c>
      <c r="AC55">
        <v>0.23</v>
      </c>
      <c r="AD55">
        <v>2.21</v>
      </c>
      <c r="AE55">
        <v>2.77</v>
      </c>
      <c r="AF55">
        <v>6</v>
      </c>
      <c r="AG55">
        <v>2.88</v>
      </c>
      <c r="AH55">
        <f t="shared" si="10"/>
        <v>0.21</v>
      </c>
      <c r="AI55">
        <f t="shared" si="11"/>
        <v>0.23</v>
      </c>
      <c r="AJ55">
        <f t="shared" si="12"/>
        <v>2.21</v>
      </c>
      <c r="AK55">
        <f t="shared" si="13"/>
        <v>2.77</v>
      </c>
      <c r="AL55">
        <f t="shared" si="14"/>
        <v>6</v>
      </c>
      <c r="AM55">
        <f t="shared" si="15"/>
        <v>2.88</v>
      </c>
      <c r="AO55">
        <f t="shared" si="16"/>
        <v>0.24</v>
      </c>
      <c r="AP55">
        <f t="shared" si="17"/>
        <v>0.32</v>
      </c>
      <c r="AQ55">
        <f t="shared" si="18"/>
        <v>1.1100000000000001</v>
      </c>
      <c r="AR55">
        <f t="shared" si="19"/>
        <v>1.37</v>
      </c>
      <c r="AS55">
        <f t="shared" si="20"/>
        <v>1.77</v>
      </c>
      <c r="AT55">
        <f t="shared" si="21"/>
        <v>1.1499999999999999</v>
      </c>
      <c r="AU55">
        <f t="shared" si="22"/>
        <v>0.21</v>
      </c>
      <c r="AV55">
        <f t="shared" si="23"/>
        <v>0.23</v>
      </c>
      <c r="AW55">
        <f t="shared" si="24"/>
        <v>2.21</v>
      </c>
      <c r="AX55">
        <f t="shared" si="25"/>
        <v>2.77</v>
      </c>
      <c r="AY55">
        <f t="shared" si="26"/>
        <v>6</v>
      </c>
      <c r="AZ55">
        <f t="shared" si="27"/>
        <v>2.88</v>
      </c>
    </row>
    <row r="56" spans="1:52" x14ac:dyDescent="0.3">
      <c r="A56" t="s">
        <v>52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0.28000000000000003</v>
      </c>
      <c r="J56">
        <v>0.36</v>
      </c>
      <c r="K56">
        <v>0.73</v>
      </c>
      <c r="L56">
        <v>1.05</v>
      </c>
      <c r="M56">
        <v>1.61</v>
      </c>
      <c r="N56">
        <v>0.99</v>
      </c>
      <c r="O56">
        <f t="shared" si="4"/>
        <v>0.28000000000000003</v>
      </c>
      <c r="P56">
        <f t="shared" si="5"/>
        <v>0.36</v>
      </c>
      <c r="Q56">
        <f t="shared" si="6"/>
        <v>0.73</v>
      </c>
      <c r="R56">
        <f t="shared" si="7"/>
        <v>1.05</v>
      </c>
      <c r="S56">
        <f t="shared" si="8"/>
        <v>1.61</v>
      </c>
      <c r="T56">
        <f t="shared" si="9"/>
        <v>0.99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0.14000000000000001</v>
      </c>
      <c r="AC56">
        <v>0.22</v>
      </c>
      <c r="AD56">
        <v>2.0699999999999998</v>
      </c>
      <c r="AE56">
        <v>2.71</v>
      </c>
      <c r="AF56">
        <v>3.31</v>
      </c>
      <c r="AG56">
        <v>2.92</v>
      </c>
      <c r="AH56">
        <f t="shared" si="10"/>
        <v>0.14000000000000001</v>
      </c>
      <c r="AI56">
        <f t="shared" si="11"/>
        <v>0.22</v>
      </c>
      <c r="AJ56">
        <f t="shared" si="12"/>
        <v>2.0699999999999998</v>
      </c>
      <c r="AK56">
        <f t="shared" si="13"/>
        <v>2.71</v>
      </c>
      <c r="AL56">
        <f t="shared" si="14"/>
        <v>3.31</v>
      </c>
      <c r="AM56">
        <f t="shared" si="15"/>
        <v>2.92</v>
      </c>
      <c r="AO56">
        <f t="shared" si="16"/>
        <v>0.28000000000000003</v>
      </c>
      <c r="AP56">
        <f t="shared" si="17"/>
        <v>0.36</v>
      </c>
      <c r="AQ56">
        <f t="shared" si="18"/>
        <v>0.73</v>
      </c>
      <c r="AR56">
        <f t="shared" si="19"/>
        <v>1.05</v>
      </c>
      <c r="AS56">
        <f t="shared" si="20"/>
        <v>1.61</v>
      </c>
      <c r="AT56">
        <f t="shared" si="21"/>
        <v>0.99</v>
      </c>
      <c r="AU56">
        <f t="shared" si="22"/>
        <v>0.14000000000000001</v>
      </c>
      <c r="AV56">
        <f t="shared" si="23"/>
        <v>0.22</v>
      </c>
      <c r="AW56">
        <f t="shared" si="24"/>
        <v>2.0699999999999998</v>
      </c>
      <c r="AX56">
        <f t="shared" si="25"/>
        <v>2.71</v>
      </c>
      <c r="AY56">
        <f t="shared" si="26"/>
        <v>3.31</v>
      </c>
      <c r="AZ56">
        <f t="shared" si="27"/>
        <v>2.92</v>
      </c>
    </row>
    <row r="57" spans="1:52" x14ac:dyDescent="0.3">
      <c r="A57" t="s">
        <v>53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0.83</v>
      </c>
      <c r="J57">
        <v>0.55000000000000004</v>
      </c>
      <c r="K57">
        <v>32.82</v>
      </c>
      <c r="L57">
        <v>28.8</v>
      </c>
      <c r="M57">
        <v>44.64</v>
      </c>
      <c r="N57">
        <v>31.28</v>
      </c>
      <c r="O57">
        <f t="shared" si="4"/>
        <v>0.83</v>
      </c>
      <c r="P57">
        <f t="shared" si="5"/>
        <v>0.55000000000000004</v>
      </c>
      <c r="Q57">
        <f t="shared" si="6"/>
        <v>32.82</v>
      </c>
      <c r="R57">
        <f t="shared" si="7"/>
        <v>28.8</v>
      </c>
      <c r="S57">
        <f t="shared" si="8"/>
        <v>44.64</v>
      </c>
      <c r="T57">
        <f t="shared" si="9"/>
        <v>31.28</v>
      </c>
      <c r="V57">
        <v>1</v>
      </c>
      <c r="W57">
        <v>1</v>
      </c>
      <c r="X57">
        <v>1</v>
      </c>
      <c r="Y57">
        <v>1</v>
      </c>
      <c r="Z57">
        <v>1</v>
      </c>
      <c r="AA57">
        <v>-1</v>
      </c>
      <c r="AB57">
        <v>0.28999999999999998</v>
      </c>
      <c r="AC57">
        <v>0.26</v>
      </c>
      <c r="AD57">
        <v>20.43</v>
      </c>
      <c r="AE57">
        <v>30.79</v>
      </c>
      <c r="AF57">
        <v>37.11</v>
      </c>
      <c r="AG57">
        <v>16.84</v>
      </c>
      <c r="AH57">
        <f t="shared" si="10"/>
        <v>0.28999999999999998</v>
      </c>
      <c r="AI57">
        <f t="shared" si="11"/>
        <v>0.26</v>
      </c>
      <c r="AJ57">
        <f t="shared" si="12"/>
        <v>20.43</v>
      </c>
      <c r="AK57">
        <f t="shared" si="13"/>
        <v>30.79</v>
      </c>
      <c r="AL57">
        <f t="shared" si="14"/>
        <v>37.11</v>
      </c>
      <c r="AM57" t="e">
        <f t="shared" si="15"/>
        <v>#N/A</v>
      </c>
      <c r="AO57">
        <f t="shared" si="16"/>
        <v>0.83</v>
      </c>
      <c r="AP57">
        <f t="shared" si="17"/>
        <v>0.55000000000000004</v>
      </c>
      <c r="AQ57">
        <f t="shared" si="18"/>
        <v>32.82</v>
      </c>
      <c r="AR57">
        <f t="shared" si="19"/>
        <v>28.8</v>
      </c>
      <c r="AS57">
        <f t="shared" si="20"/>
        <v>44.64</v>
      </c>
      <c r="AT57" t="e">
        <f t="shared" si="21"/>
        <v>#N/A</v>
      </c>
      <c r="AU57">
        <f t="shared" si="22"/>
        <v>0.28999999999999998</v>
      </c>
      <c r="AV57">
        <f t="shared" si="23"/>
        <v>0.26</v>
      </c>
      <c r="AW57">
        <f t="shared" si="24"/>
        <v>20.43</v>
      </c>
      <c r="AX57">
        <f t="shared" si="25"/>
        <v>30.79</v>
      </c>
      <c r="AY57">
        <f t="shared" si="26"/>
        <v>37.11</v>
      </c>
      <c r="AZ57" t="e">
        <f t="shared" si="27"/>
        <v>#N/A</v>
      </c>
    </row>
    <row r="58" spans="1:52" x14ac:dyDescent="0.3">
      <c r="A58" t="s">
        <v>54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2.39</v>
      </c>
      <c r="J58">
        <v>2.88</v>
      </c>
      <c r="K58">
        <v>714.29</v>
      </c>
      <c r="L58">
        <v>308.45</v>
      </c>
      <c r="M58">
        <v>620.97</v>
      </c>
      <c r="N58">
        <v>477.18</v>
      </c>
      <c r="O58">
        <f t="shared" si="4"/>
        <v>2.39</v>
      </c>
      <c r="P58">
        <f t="shared" si="5"/>
        <v>2.88</v>
      </c>
      <c r="Q58">
        <f t="shared" si="6"/>
        <v>714.29</v>
      </c>
      <c r="R58">
        <f t="shared" si="7"/>
        <v>308.45</v>
      </c>
      <c r="S58">
        <f t="shared" si="8"/>
        <v>620.97</v>
      </c>
      <c r="T58">
        <f t="shared" si="9"/>
        <v>477.18</v>
      </c>
      <c r="V58">
        <v>1</v>
      </c>
      <c r="W58">
        <v>1</v>
      </c>
      <c r="X58">
        <v>1</v>
      </c>
      <c r="Y58">
        <v>1</v>
      </c>
      <c r="Z58">
        <v>-1</v>
      </c>
      <c r="AA58">
        <v>1</v>
      </c>
      <c r="AB58">
        <v>3.16</v>
      </c>
      <c r="AC58">
        <v>1.35</v>
      </c>
      <c r="AD58">
        <v>633.59</v>
      </c>
      <c r="AE58">
        <v>364.24</v>
      </c>
      <c r="AF58">
        <v>1759.3</v>
      </c>
      <c r="AG58">
        <v>676.06</v>
      </c>
      <c r="AH58">
        <f t="shared" si="10"/>
        <v>3.16</v>
      </c>
      <c r="AI58">
        <f t="shared" si="11"/>
        <v>1.35</v>
      </c>
      <c r="AJ58">
        <f t="shared" si="12"/>
        <v>633.59</v>
      </c>
      <c r="AK58">
        <f t="shared" si="13"/>
        <v>364.24</v>
      </c>
      <c r="AL58" t="e">
        <f t="shared" si="14"/>
        <v>#N/A</v>
      </c>
      <c r="AM58">
        <f t="shared" si="15"/>
        <v>676.06</v>
      </c>
      <c r="AO58">
        <f t="shared" si="16"/>
        <v>2.39</v>
      </c>
      <c r="AP58">
        <f t="shared" si="17"/>
        <v>2.88</v>
      </c>
      <c r="AQ58">
        <f t="shared" si="18"/>
        <v>714.29</v>
      </c>
      <c r="AR58">
        <f t="shared" si="19"/>
        <v>308.45</v>
      </c>
      <c r="AS58" t="e">
        <f t="shared" si="20"/>
        <v>#N/A</v>
      </c>
      <c r="AT58">
        <f t="shared" si="21"/>
        <v>477.18</v>
      </c>
      <c r="AU58">
        <f t="shared" si="22"/>
        <v>3.16</v>
      </c>
      <c r="AV58">
        <f t="shared" si="23"/>
        <v>1.35</v>
      </c>
      <c r="AW58">
        <f t="shared" si="24"/>
        <v>633.59</v>
      </c>
      <c r="AX58">
        <f t="shared" si="25"/>
        <v>364.24</v>
      </c>
      <c r="AY58" t="e">
        <f t="shared" si="26"/>
        <v>#N/A</v>
      </c>
      <c r="AZ58">
        <f t="shared" si="27"/>
        <v>676.06</v>
      </c>
    </row>
    <row r="59" spans="1:52" x14ac:dyDescent="0.3">
      <c r="A59" t="s">
        <v>55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4.96</v>
      </c>
      <c r="J59">
        <v>3.79</v>
      </c>
      <c r="K59">
        <v>1074.45</v>
      </c>
      <c r="L59">
        <v>1236.5</v>
      </c>
      <c r="M59">
        <v>1051.21</v>
      </c>
      <c r="N59">
        <v>1052.3900000000001</v>
      </c>
      <c r="O59">
        <f t="shared" si="4"/>
        <v>4.96</v>
      </c>
      <c r="P59">
        <f t="shared" si="5"/>
        <v>3.79</v>
      </c>
      <c r="Q59">
        <f t="shared" si="6"/>
        <v>1074.45</v>
      </c>
      <c r="R59">
        <f t="shared" si="7"/>
        <v>1236.5</v>
      </c>
      <c r="S59">
        <f t="shared" si="8"/>
        <v>1051.21</v>
      </c>
      <c r="T59">
        <f t="shared" si="9"/>
        <v>1052.3900000000001</v>
      </c>
      <c r="V59">
        <v>1</v>
      </c>
      <c r="W59">
        <v>1</v>
      </c>
      <c r="X59">
        <v>1</v>
      </c>
      <c r="Y59">
        <v>1</v>
      </c>
      <c r="Z59">
        <v>1</v>
      </c>
      <c r="AA59">
        <v>-1</v>
      </c>
      <c r="AB59">
        <v>6.83</v>
      </c>
      <c r="AC59">
        <v>4.12</v>
      </c>
      <c r="AD59">
        <v>1167.5</v>
      </c>
      <c r="AE59">
        <v>1240.45</v>
      </c>
      <c r="AF59">
        <v>3491.93</v>
      </c>
      <c r="AG59">
        <v>2187.44</v>
      </c>
      <c r="AH59">
        <f t="shared" si="10"/>
        <v>6.83</v>
      </c>
      <c r="AI59">
        <f t="shared" si="11"/>
        <v>4.12</v>
      </c>
      <c r="AJ59">
        <f t="shared" si="12"/>
        <v>1167.5</v>
      </c>
      <c r="AK59">
        <f t="shared" si="13"/>
        <v>1240.45</v>
      </c>
      <c r="AL59">
        <f t="shared" si="14"/>
        <v>3491.93</v>
      </c>
      <c r="AM59" t="e">
        <f t="shared" si="15"/>
        <v>#N/A</v>
      </c>
      <c r="AO59">
        <f t="shared" si="16"/>
        <v>4.96</v>
      </c>
      <c r="AP59">
        <f t="shared" si="17"/>
        <v>3.79</v>
      </c>
      <c r="AQ59">
        <f t="shared" si="18"/>
        <v>1074.45</v>
      </c>
      <c r="AR59">
        <f t="shared" si="19"/>
        <v>1236.5</v>
      </c>
      <c r="AS59">
        <f t="shared" si="20"/>
        <v>1051.21</v>
      </c>
      <c r="AT59" t="e">
        <f t="shared" si="21"/>
        <v>#N/A</v>
      </c>
      <c r="AU59">
        <f t="shared" si="22"/>
        <v>6.83</v>
      </c>
      <c r="AV59">
        <f t="shared" si="23"/>
        <v>4.12</v>
      </c>
      <c r="AW59">
        <f t="shared" si="24"/>
        <v>1167.5</v>
      </c>
      <c r="AX59">
        <f t="shared" si="25"/>
        <v>1240.45</v>
      </c>
      <c r="AY59">
        <f t="shared" si="26"/>
        <v>3491.93</v>
      </c>
      <c r="AZ59" t="e">
        <f t="shared" si="27"/>
        <v>#N/A</v>
      </c>
    </row>
    <row r="60" spans="1:52" x14ac:dyDescent="0.3">
      <c r="A60" t="s">
        <v>56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0.86</v>
      </c>
      <c r="J60">
        <v>0.77</v>
      </c>
      <c r="K60">
        <v>136.33000000000001</v>
      </c>
      <c r="L60">
        <v>108.65</v>
      </c>
      <c r="M60">
        <v>107.08</v>
      </c>
      <c r="N60">
        <v>102.87</v>
      </c>
      <c r="O60">
        <f t="shared" si="4"/>
        <v>0.86</v>
      </c>
      <c r="P60">
        <f t="shared" si="5"/>
        <v>0.77</v>
      </c>
      <c r="Q60">
        <f t="shared" si="6"/>
        <v>136.33000000000001</v>
      </c>
      <c r="R60">
        <f t="shared" si="7"/>
        <v>108.65</v>
      </c>
      <c r="S60">
        <f t="shared" si="8"/>
        <v>107.08</v>
      </c>
      <c r="T60">
        <f t="shared" si="9"/>
        <v>102.87</v>
      </c>
      <c r="V60">
        <v>1</v>
      </c>
      <c r="W60">
        <v>1</v>
      </c>
      <c r="X60">
        <v>1</v>
      </c>
      <c r="Y60">
        <v>1</v>
      </c>
      <c r="Z60">
        <v>1</v>
      </c>
      <c r="AA60">
        <v>-1</v>
      </c>
      <c r="AB60">
        <v>0.87</v>
      </c>
      <c r="AC60">
        <v>1.29</v>
      </c>
      <c r="AD60">
        <v>166.01</v>
      </c>
      <c r="AE60">
        <v>200.7</v>
      </c>
      <c r="AF60">
        <v>262.18</v>
      </c>
      <c r="AG60">
        <v>210.89</v>
      </c>
      <c r="AH60">
        <f t="shared" si="10"/>
        <v>0.87</v>
      </c>
      <c r="AI60">
        <f t="shared" si="11"/>
        <v>1.29</v>
      </c>
      <c r="AJ60">
        <f t="shared" si="12"/>
        <v>166.01</v>
      </c>
      <c r="AK60">
        <f t="shared" si="13"/>
        <v>200.7</v>
      </c>
      <c r="AL60">
        <f t="shared" si="14"/>
        <v>262.18</v>
      </c>
      <c r="AM60" t="e">
        <f t="shared" si="15"/>
        <v>#N/A</v>
      </c>
      <c r="AO60">
        <f t="shared" si="16"/>
        <v>0.86</v>
      </c>
      <c r="AP60">
        <f t="shared" si="17"/>
        <v>0.77</v>
      </c>
      <c r="AQ60">
        <f t="shared" si="18"/>
        <v>136.33000000000001</v>
      </c>
      <c r="AR60">
        <f t="shared" si="19"/>
        <v>108.65</v>
      </c>
      <c r="AS60">
        <f t="shared" si="20"/>
        <v>107.08</v>
      </c>
      <c r="AT60" t="e">
        <f t="shared" si="21"/>
        <v>#N/A</v>
      </c>
      <c r="AU60">
        <f t="shared" si="22"/>
        <v>0.87</v>
      </c>
      <c r="AV60">
        <f t="shared" si="23"/>
        <v>1.29</v>
      </c>
      <c r="AW60">
        <f t="shared" si="24"/>
        <v>166.01</v>
      </c>
      <c r="AX60">
        <f t="shared" si="25"/>
        <v>200.7</v>
      </c>
      <c r="AY60">
        <f t="shared" si="26"/>
        <v>262.18</v>
      </c>
      <c r="AZ60" t="e">
        <f t="shared" si="27"/>
        <v>#N/A</v>
      </c>
    </row>
    <row r="61" spans="1:52" x14ac:dyDescent="0.3">
      <c r="A61" t="s">
        <v>57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8.08</v>
      </c>
      <c r="J61">
        <v>6.65</v>
      </c>
      <c r="K61">
        <v>1330.84</v>
      </c>
      <c r="L61">
        <v>1009.37</v>
      </c>
      <c r="M61">
        <v>1340.78</v>
      </c>
      <c r="N61">
        <v>1165.76</v>
      </c>
      <c r="O61">
        <f t="shared" si="4"/>
        <v>8.08</v>
      </c>
      <c r="P61">
        <f t="shared" si="5"/>
        <v>6.65</v>
      </c>
      <c r="Q61">
        <f t="shared" si="6"/>
        <v>1330.84</v>
      </c>
      <c r="R61">
        <f t="shared" si="7"/>
        <v>1009.37</v>
      </c>
      <c r="S61">
        <f t="shared" si="8"/>
        <v>1340.78</v>
      </c>
      <c r="T61">
        <f t="shared" si="9"/>
        <v>1165.76</v>
      </c>
      <c r="V61">
        <v>1</v>
      </c>
      <c r="W61">
        <v>1</v>
      </c>
      <c r="X61">
        <v>-1</v>
      </c>
      <c r="Y61">
        <v>1</v>
      </c>
      <c r="Z61">
        <v>-1</v>
      </c>
      <c r="AA61">
        <v>1</v>
      </c>
      <c r="AB61">
        <v>10.66</v>
      </c>
      <c r="AC61">
        <v>10.88</v>
      </c>
      <c r="AD61">
        <v>4362.83</v>
      </c>
      <c r="AE61">
        <v>2023</v>
      </c>
      <c r="AF61">
        <v>4104.28</v>
      </c>
      <c r="AG61">
        <v>2613.4</v>
      </c>
      <c r="AH61">
        <f t="shared" si="10"/>
        <v>10.66</v>
      </c>
      <c r="AI61">
        <f t="shared" si="11"/>
        <v>10.88</v>
      </c>
      <c r="AJ61" t="e">
        <f t="shared" si="12"/>
        <v>#N/A</v>
      </c>
      <c r="AK61">
        <f t="shared" si="13"/>
        <v>2023</v>
      </c>
      <c r="AL61" t="e">
        <f t="shared" si="14"/>
        <v>#N/A</v>
      </c>
      <c r="AM61">
        <f t="shared" si="15"/>
        <v>2613.4</v>
      </c>
      <c r="AO61">
        <f t="shared" si="16"/>
        <v>8.08</v>
      </c>
      <c r="AP61">
        <f t="shared" si="17"/>
        <v>6.65</v>
      </c>
      <c r="AQ61" t="e">
        <f t="shared" si="18"/>
        <v>#N/A</v>
      </c>
      <c r="AR61">
        <f t="shared" si="19"/>
        <v>1009.37</v>
      </c>
      <c r="AS61" t="e">
        <f t="shared" si="20"/>
        <v>#N/A</v>
      </c>
      <c r="AT61">
        <f t="shared" si="21"/>
        <v>1165.76</v>
      </c>
      <c r="AU61">
        <f t="shared" si="22"/>
        <v>10.66</v>
      </c>
      <c r="AV61">
        <f t="shared" si="23"/>
        <v>10.88</v>
      </c>
      <c r="AW61" t="e">
        <f t="shared" si="24"/>
        <v>#N/A</v>
      </c>
      <c r="AX61">
        <f t="shared" si="25"/>
        <v>2023</v>
      </c>
      <c r="AY61" t="e">
        <f t="shared" si="26"/>
        <v>#N/A</v>
      </c>
      <c r="AZ61">
        <f t="shared" si="27"/>
        <v>2613.4</v>
      </c>
    </row>
    <row r="62" spans="1:52" x14ac:dyDescent="0.3">
      <c r="A62" t="s">
        <v>58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30.93</v>
      </c>
      <c r="J62">
        <v>30.54</v>
      </c>
      <c r="K62">
        <v>2485.5500000000002</v>
      </c>
      <c r="L62">
        <v>2521.21</v>
      </c>
      <c r="M62">
        <v>2951.47</v>
      </c>
      <c r="N62">
        <v>2373.8200000000002</v>
      </c>
      <c r="O62">
        <f t="shared" si="4"/>
        <v>30.93</v>
      </c>
      <c r="P62">
        <f t="shared" si="5"/>
        <v>30.54</v>
      </c>
      <c r="Q62">
        <f t="shared" si="6"/>
        <v>2485.5500000000002</v>
      </c>
      <c r="R62">
        <f t="shared" si="7"/>
        <v>2521.21</v>
      </c>
      <c r="S62">
        <f t="shared" si="8"/>
        <v>2951.47</v>
      </c>
      <c r="T62">
        <f t="shared" si="9"/>
        <v>2373.8200000000002</v>
      </c>
      <c r="V62">
        <v>1</v>
      </c>
      <c r="W62">
        <v>1</v>
      </c>
      <c r="X62">
        <v>1</v>
      </c>
      <c r="Y62">
        <v>1</v>
      </c>
      <c r="Z62">
        <v>-1</v>
      </c>
      <c r="AA62">
        <v>-1</v>
      </c>
      <c r="AB62">
        <v>42.03</v>
      </c>
      <c r="AC62">
        <v>24.76</v>
      </c>
      <c r="AD62">
        <v>8697.74</v>
      </c>
      <c r="AE62">
        <v>6457.2</v>
      </c>
      <c r="AF62">
        <v>15323.18</v>
      </c>
      <c r="AG62">
        <v>6480.51</v>
      </c>
      <c r="AH62">
        <f t="shared" si="10"/>
        <v>42.03</v>
      </c>
      <c r="AI62">
        <f t="shared" si="11"/>
        <v>24.76</v>
      </c>
      <c r="AJ62">
        <f t="shared" si="12"/>
        <v>8697.74</v>
      </c>
      <c r="AK62">
        <f t="shared" si="13"/>
        <v>6457.2</v>
      </c>
      <c r="AL62" t="e">
        <f t="shared" si="14"/>
        <v>#N/A</v>
      </c>
      <c r="AM62" t="e">
        <f t="shared" si="15"/>
        <v>#N/A</v>
      </c>
      <c r="AO62">
        <f t="shared" si="16"/>
        <v>30.93</v>
      </c>
      <c r="AP62">
        <f t="shared" si="17"/>
        <v>30.54</v>
      </c>
      <c r="AQ62">
        <f t="shared" si="18"/>
        <v>2485.5500000000002</v>
      </c>
      <c r="AR62">
        <f t="shared" si="19"/>
        <v>2521.21</v>
      </c>
      <c r="AS62" t="e">
        <f t="shared" si="20"/>
        <v>#N/A</v>
      </c>
      <c r="AT62" t="e">
        <f t="shared" si="21"/>
        <v>#N/A</v>
      </c>
      <c r="AU62">
        <f t="shared" si="22"/>
        <v>42.03</v>
      </c>
      <c r="AV62">
        <f t="shared" si="23"/>
        <v>24.76</v>
      </c>
      <c r="AW62">
        <f t="shared" si="24"/>
        <v>8697.74</v>
      </c>
      <c r="AX62">
        <f t="shared" si="25"/>
        <v>6457.2</v>
      </c>
      <c r="AY62" t="e">
        <f t="shared" si="26"/>
        <v>#N/A</v>
      </c>
      <c r="AZ62" t="e">
        <f t="shared" si="27"/>
        <v>#N/A</v>
      </c>
    </row>
    <row r="63" spans="1:52" x14ac:dyDescent="0.3">
      <c r="A63" t="s">
        <v>59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0.08</v>
      </c>
      <c r="J63">
        <v>0.15</v>
      </c>
      <c r="K63">
        <v>0.94</v>
      </c>
      <c r="L63">
        <v>0.92</v>
      </c>
      <c r="M63">
        <v>1.4</v>
      </c>
      <c r="N63">
        <v>0.92</v>
      </c>
      <c r="O63">
        <f t="shared" si="4"/>
        <v>0.08</v>
      </c>
      <c r="P63">
        <f t="shared" si="5"/>
        <v>0.15</v>
      </c>
      <c r="Q63">
        <f t="shared" si="6"/>
        <v>0.94</v>
      </c>
      <c r="R63">
        <f t="shared" si="7"/>
        <v>0.92</v>
      </c>
      <c r="S63">
        <f t="shared" si="8"/>
        <v>1.4</v>
      </c>
      <c r="T63">
        <f t="shared" si="9"/>
        <v>0.92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0.13</v>
      </c>
      <c r="AC63">
        <v>7.0000000000000007E-2</v>
      </c>
      <c r="AD63">
        <v>3.41</v>
      </c>
      <c r="AE63">
        <v>4.6100000000000003</v>
      </c>
      <c r="AF63">
        <v>4.53</v>
      </c>
      <c r="AG63">
        <v>3.81</v>
      </c>
      <c r="AH63">
        <f t="shared" si="10"/>
        <v>0.13</v>
      </c>
      <c r="AI63">
        <f t="shared" si="11"/>
        <v>7.0000000000000007E-2</v>
      </c>
      <c r="AJ63">
        <f t="shared" si="12"/>
        <v>3.41</v>
      </c>
      <c r="AK63">
        <f t="shared" si="13"/>
        <v>4.6100000000000003</v>
      </c>
      <c r="AL63">
        <f t="shared" si="14"/>
        <v>4.53</v>
      </c>
      <c r="AM63">
        <f t="shared" si="15"/>
        <v>3.81</v>
      </c>
      <c r="AO63">
        <f t="shared" si="16"/>
        <v>0.08</v>
      </c>
      <c r="AP63">
        <f t="shared" si="17"/>
        <v>0.15</v>
      </c>
      <c r="AQ63">
        <f t="shared" si="18"/>
        <v>0.94</v>
      </c>
      <c r="AR63">
        <f t="shared" si="19"/>
        <v>0.92</v>
      </c>
      <c r="AS63">
        <f t="shared" si="20"/>
        <v>1.4</v>
      </c>
      <c r="AT63">
        <f t="shared" si="21"/>
        <v>0.92</v>
      </c>
      <c r="AU63">
        <f t="shared" si="22"/>
        <v>0.13</v>
      </c>
      <c r="AV63">
        <f t="shared" si="23"/>
        <v>7.0000000000000007E-2</v>
      </c>
      <c r="AW63">
        <f t="shared" si="24"/>
        <v>3.41</v>
      </c>
      <c r="AX63">
        <f t="shared" si="25"/>
        <v>4.6100000000000003</v>
      </c>
      <c r="AY63">
        <f t="shared" si="26"/>
        <v>4.53</v>
      </c>
      <c r="AZ63">
        <f t="shared" si="27"/>
        <v>3.81</v>
      </c>
    </row>
    <row r="64" spans="1:52" x14ac:dyDescent="0.3">
      <c r="A64" t="s">
        <v>60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0.11</v>
      </c>
      <c r="J64">
        <v>0.08</v>
      </c>
      <c r="K64">
        <v>0.95</v>
      </c>
      <c r="L64">
        <v>1.36</v>
      </c>
      <c r="M64">
        <v>1.47</v>
      </c>
      <c r="N64">
        <v>1.1000000000000001</v>
      </c>
      <c r="O64">
        <f t="shared" si="4"/>
        <v>0.11</v>
      </c>
      <c r="P64">
        <f t="shared" si="5"/>
        <v>0.08</v>
      </c>
      <c r="Q64">
        <f t="shared" si="6"/>
        <v>0.95</v>
      </c>
      <c r="R64">
        <f t="shared" si="7"/>
        <v>1.36</v>
      </c>
      <c r="S64">
        <f t="shared" si="8"/>
        <v>1.47</v>
      </c>
      <c r="T64">
        <f t="shared" si="9"/>
        <v>1.1000000000000001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0.09</v>
      </c>
      <c r="AC64">
        <v>0.08</v>
      </c>
      <c r="AD64">
        <v>4.04</v>
      </c>
      <c r="AE64">
        <v>5.08</v>
      </c>
      <c r="AF64">
        <v>6.28</v>
      </c>
      <c r="AG64">
        <v>4.8</v>
      </c>
      <c r="AH64">
        <f t="shared" si="10"/>
        <v>0.09</v>
      </c>
      <c r="AI64">
        <f t="shared" si="11"/>
        <v>0.08</v>
      </c>
      <c r="AJ64">
        <f t="shared" si="12"/>
        <v>4.04</v>
      </c>
      <c r="AK64">
        <f t="shared" si="13"/>
        <v>5.08</v>
      </c>
      <c r="AL64">
        <f t="shared" si="14"/>
        <v>6.28</v>
      </c>
      <c r="AM64">
        <f t="shared" si="15"/>
        <v>4.8</v>
      </c>
      <c r="AO64">
        <f t="shared" si="16"/>
        <v>0.11</v>
      </c>
      <c r="AP64">
        <f t="shared" si="17"/>
        <v>0.08</v>
      </c>
      <c r="AQ64">
        <f t="shared" si="18"/>
        <v>0.95</v>
      </c>
      <c r="AR64">
        <f t="shared" si="19"/>
        <v>1.36</v>
      </c>
      <c r="AS64">
        <f t="shared" si="20"/>
        <v>1.47</v>
      </c>
      <c r="AT64">
        <f t="shared" si="21"/>
        <v>1.1000000000000001</v>
      </c>
      <c r="AU64">
        <f t="shared" si="22"/>
        <v>0.09</v>
      </c>
      <c r="AV64">
        <f t="shared" si="23"/>
        <v>0.08</v>
      </c>
      <c r="AW64">
        <f t="shared" si="24"/>
        <v>4.04</v>
      </c>
      <c r="AX64">
        <f t="shared" si="25"/>
        <v>5.08</v>
      </c>
      <c r="AY64">
        <f t="shared" si="26"/>
        <v>6.28</v>
      </c>
      <c r="AZ64">
        <f t="shared" si="27"/>
        <v>4.8</v>
      </c>
    </row>
    <row r="65" spans="1:52" x14ac:dyDescent="0.3">
      <c r="A65" t="s">
        <v>61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1.21</v>
      </c>
      <c r="J65">
        <v>1.34</v>
      </c>
      <c r="K65">
        <v>24.76</v>
      </c>
      <c r="L65">
        <v>21.37</v>
      </c>
      <c r="M65">
        <v>41.13</v>
      </c>
      <c r="N65">
        <v>28.58</v>
      </c>
      <c r="O65">
        <f t="shared" si="4"/>
        <v>1.21</v>
      </c>
      <c r="P65">
        <f t="shared" si="5"/>
        <v>1.34</v>
      </c>
      <c r="Q65">
        <f t="shared" si="6"/>
        <v>24.76</v>
      </c>
      <c r="R65">
        <f t="shared" si="7"/>
        <v>21.37</v>
      </c>
      <c r="S65">
        <f t="shared" si="8"/>
        <v>41.13</v>
      </c>
      <c r="T65">
        <f t="shared" si="9"/>
        <v>28.58</v>
      </c>
      <c r="V65">
        <v>1</v>
      </c>
      <c r="W65">
        <v>1</v>
      </c>
      <c r="X65">
        <v>-1</v>
      </c>
      <c r="Y65">
        <v>1</v>
      </c>
      <c r="Z65">
        <v>-1</v>
      </c>
      <c r="AA65">
        <v>-1</v>
      </c>
      <c r="AB65">
        <v>2.21</v>
      </c>
      <c r="AC65">
        <v>1.45</v>
      </c>
      <c r="AD65">
        <v>29.86</v>
      </c>
      <c r="AE65">
        <v>41.69</v>
      </c>
      <c r="AF65">
        <v>106.26</v>
      </c>
      <c r="AG65">
        <v>39.630000000000003</v>
      </c>
      <c r="AH65">
        <f t="shared" si="10"/>
        <v>2.21</v>
      </c>
      <c r="AI65">
        <f t="shared" si="11"/>
        <v>1.45</v>
      </c>
      <c r="AJ65" t="e">
        <f t="shared" si="12"/>
        <v>#N/A</v>
      </c>
      <c r="AK65">
        <f t="shared" si="13"/>
        <v>41.69</v>
      </c>
      <c r="AL65" t="e">
        <f t="shared" si="14"/>
        <v>#N/A</v>
      </c>
      <c r="AM65" t="e">
        <f t="shared" si="15"/>
        <v>#N/A</v>
      </c>
      <c r="AO65">
        <f t="shared" si="16"/>
        <v>1.21</v>
      </c>
      <c r="AP65">
        <f t="shared" si="17"/>
        <v>1.34</v>
      </c>
      <c r="AQ65" t="e">
        <f t="shared" si="18"/>
        <v>#N/A</v>
      </c>
      <c r="AR65">
        <f t="shared" si="19"/>
        <v>21.37</v>
      </c>
      <c r="AS65" t="e">
        <f t="shared" si="20"/>
        <v>#N/A</v>
      </c>
      <c r="AT65" t="e">
        <f t="shared" si="21"/>
        <v>#N/A</v>
      </c>
      <c r="AU65">
        <f t="shared" si="22"/>
        <v>2.21</v>
      </c>
      <c r="AV65">
        <f t="shared" si="23"/>
        <v>1.45</v>
      </c>
      <c r="AW65" t="e">
        <f t="shared" si="24"/>
        <v>#N/A</v>
      </c>
      <c r="AX65">
        <f t="shared" si="25"/>
        <v>41.69</v>
      </c>
      <c r="AY65" t="e">
        <f t="shared" si="26"/>
        <v>#N/A</v>
      </c>
      <c r="AZ65" t="e">
        <f t="shared" si="27"/>
        <v>#N/A</v>
      </c>
    </row>
    <row r="66" spans="1:52" x14ac:dyDescent="0.3">
      <c r="A66" t="s">
        <v>62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0.02</v>
      </c>
      <c r="J66">
        <v>0.01</v>
      </c>
      <c r="K66">
        <v>0.02</v>
      </c>
      <c r="L66">
        <v>7.0000000000000007E-2</v>
      </c>
      <c r="M66">
        <v>0.11</v>
      </c>
      <c r="N66">
        <v>0.02</v>
      </c>
      <c r="O66">
        <f t="shared" si="4"/>
        <v>0.02</v>
      </c>
      <c r="P66">
        <f t="shared" si="5"/>
        <v>0.01</v>
      </c>
      <c r="Q66">
        <f t="shared" si="6"/>
        <v>0.02</v>
      </c>
      <c r="R66">
        <f t="shared" si="7"/>
        <v>7.0000000000000007E-2</v>
      </c>
      <c r="S66">
        <f t="shared" si="8"/>
        <v>0.11</v>
      </c>
      <c r="T66">
        <f t="shared" si="9"/>
        <v>0.02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0.03</v>
      </c>
      <c r="AC66">
        <v>0.03</v>
      </c>
      <c r="AD66">
        <v>0.02</v>
      </c>
      <c r="AE66">
        <v>0.09</v>
      </c>
      <c r="AF66">
        <v>0.03</v>
      </c>
      <c r="AG66">
        <v>0.02</v>
      </c>
      <c r="AH66">
        <f t="shared" si="10"/>
        <v>0.03</v>
      </c>
      <c r="AI66">
        <f t="shared" si="11"/>
        <v>0.03</v>
      </c>
      <c r="AJ66">
        <f t="shared" si="12"/>
        <v>0.02</v>
      </c>
      <c r="AK66">
        <f t="shared" si="13"/>
        <v>0.09</v>
      </c>
      <c r="AL66">
        <f t="shared" si="14"/>
        <v>0.03</v>
      </c>
      <c r="AM66">
        <f t="shared" si="15"/>
        <v>0.02</v>
      </c>
      <c r="AO66">
        <f t="shared" si="16"/>
        <v>0.02</v>
      </c>
      <c r="AP66">
        <f t="shared" si="17"/>
        <v>0.01</v>
      </c>
      <c r="AQ66">
        <f t="shared" si="18"/>
        <v>0.02</v>
      </c>
      <c r="AR66">
        <f t="shared" si="19"/>
        <v>7.0000000000000007E-2</v>
      </c>
      <c r="AS66">
        <f t="shared" si="20"/>
        <v>0.11</v>
      </c>
      <c r="AT66">
        <f t="shared" si="21"/>
        <v>0.02</v>
      </c>
      <c r="AU66">
        <f t="shared" si="22"/>
        <v>0.03</v>
      </c>
      <c r="AV66">
        <f t="shared" si="23"/>
        <v>0.03</v>
      </c>
      <c r="AW66">
        <f t="shared" si="24"/>
        <v>0.02</v>
      </c>
      <c r="AX66">
        <f t="shared" si="25"/>
        <v>0.09</v>
      </c>
      <c r="AY66">
        <f t="shared" si="26"/>
        <v>0.03</v>
      </c>
      <c r="AZ66">
        <f t="shared" si="27"/>
        <v>0.02</v>
      </c>
    </row>
    <row r="67" spans="1:52" x14ac:dyDescent="0.3">
      <c r="A67" t="s">
        <v>63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0.02</v>
      </c>
      <c r="J67">
        <v>0.01</v>
      </c>
      <c r="K67">
        <v>0.56999999999999995</v>
      </c>
      <c r="L67">
        <v>0.39</v>
      </c>
      <c r="M67">
        <v>0.42</v>
      </c>
      <c r="N67">
        <v>0.52</v>
      </c>
      <c r="O67">
        <f t="shared" si="4"/>
        <v>0.02</v>
      </c>
      <c r="P67">
        <f t="shared" si="5"/>
        <v>0.01</v>
      </c>
      <c r="Q67">
        <f t="shared" si="6"/>
        <v>0.56999999999999995</v>
      </c>
      <c r="R67">
        <f t="shared" si="7"/>
        <v>0.39</v>
      </c>
      <c r="S67">
        <f t="shared" si="8"/>
        <v>0.42</v>
      </c>
      <c r="T67">
        <f t="shared" si="9"/>
        <v>0.52</v>
      </c>
      <c r="V67">
        <v>1</v>
      </c>
      <c r="W67">
        <v>1</v>
      </c>
      <c r="X67">
        <v>-1</v>
      </c>
      <c r="Y67">
        <v>1</v>
      </c>
      <c r="Z67">
        <v>1</v>
      </c>
      <c r="AA67">
        <v>1</v>
      </c>
      <c r="AB67">
        <v>0.04</v>
      </c>
      <c r="AC67">
        <v>0.03</v>
      </c>
      <c r="AD67">
        <v>0.64</v>
      </c>
      <c r="AE67">
        <v>0.41</v>
      </c>
      <c r="AF67">
        <v>0.8</v>
      </c>
      <c r="AG67">
        <v>0.36</v>
      </c>
      <c r="AH67">
        <f t="shared" si="10"/>
        <v>0.04</v>
      </c>
      <c r="AI67">
        <f t="shared" si="11"/>
        <v>0.03</v>
      </c>
      <c r="AJ67" t="e">
        <f t="shared" si="12"/>
        <v>#N/A</v>
      </c>
      <c r="AK67">
        <f t="shared" si="13"/>
        <v>0.41</v>
      </c>
      <c r="AL67">
        <f t="shared" si="14"/>
        <v>0.8</v>
      </c>
      <c r="AM67">
        <f t="shared" si="15"/>
        <v>0.36</v>
      </c>
      <c r="AO67">
        <f t="shared" si="16"/>
        <v>0.02</v>
      </c>
      <c r="AP67">
        <f t="shared" si="17"/>
        <v>0.01</v>
      </c>
      <c r="AQ67" t="e">
        <f t="shared" si="18"/>
        <v>#N/A</v>
      </c>
      <c r="AR67">
        <f t="shared" si="19"/>
        <v>0.39</v>
      </c>
      <c r="AS67">
        <f t="shared" si="20"/>
        <v>0.42</v>
      </c>
      <c r="AT67">
        <f t="shared" si="21"/>
        <v>0.52</v>
      </c>
      <c r="AU67">
        <f t="shared" si="22"/>
        <v>0.04</v>
      </c>
      <c r="AV67">
        <f t="shared" si="23"/>
        <v>0.03</v>
      </c>
      <c r="AW67" t="e">
        <f t="shared" si="24"/>
        <v>#N/A</v>
      </c>
      <c r="AX67">
        <f t="shared" si="25"/>
        <v>0.41</v>
      </c>
      <c r="AY67">
        <f t="shared" si="26"/>
        <v>0.8</v>
      </c>
      <c r="AZ67">
        <f t="shared" si="27"/>
        <v>0.36</v>
      </c>
    </row>
    <row r="68" spans="1:52" x14ac:dyDescent="0.3">
      <c r="A68" t="s">
        <v>64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0.05</v>
      </c>
      <c r="J68">
        <v>0.03</v>
      </c>
      <c r="K68">
        <v>1</v>
      </c>
      <c r="L68">
        <v>0.35</v>
      </c>
      <c r="M68">
        <v>1.28</v>
      </c>
      <c r="N68">
        <v>0.63</v>
      </c>
      <c r="O68">
        <f t="shared" si="4"/>
        <v>0.05</v>
      </c>
      <c r="P68">
        <f t="shared" si="5"/>
        <v>0.03</v>
      </c>
      <c r="Q68">
        <f t="shared" si="6"/>
        <v>1</v>
      </c>
      <c r="R68">
        <f t="shared" si="7"/>
        <v>0.35</v>
      </c>
      <c r="S68">
        <f t="shared" si="8"/>
        <v>1.28</v>
      </c>
      <c r="T68">
        <f t="shared" si="9"/>
        <v>0.63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0.09</v>
      </c>
      <c r="AC68">
        <v>0.05</v>
      </c>
      <c r="AD68">
        <v>0.36</v>
      </c>
      <c r="AE68">
        <v>0.64</v>
      </c>
      <c r="AF68">
        <v>0.48</v>
      </c>
      <c r="AG68">
        <v>0.4</v>
      </c>
      <c r="AH68">
        <f t="shared" si="10"/>
        <v>0.09</v>
      </c>
      <c r="AI68">
        <f t="shared" si="11"/>
        <v>0.05</v>
      </c>
      <c r="AJ68">
        <f t="shared" si="12"/>
        <v>0.36</v>
      </c>
      <c r="AK68">
        <f t="shared" si="13"/>
        <v>0.64</v>
      </c>
      <c r="AL68">
        <f t="shared" si="14"/>
        <v>0.48</v>
      </c>
      <c r="AM68">
        <f t="shared" si="15"/>
        <v>0.4</v>
      </c>
      <c r="AO68">
        <f t="shared" si="16"/>
        <v>0.05</v>
      </c>
      <c r="AP68">
        <f t="shared" si="17"/>
        <v>0.03</v>
      </c>
      <c r="AQ68">
        <f t="shared" si="18"/>
        <v>1</v>
      </c>
      <c r="AR68">
        <f t="shared" si="19"/>
        <v>0.35</v>
      </c>
      <c r="AS68">
        <f t="shared" si="20"/>
        <v>1.28</v>
      </c>
      <c r="AT68">
        <f t="shared" si="21"/>
        <v>0.63</v>
      </c>
      <c r="AU68">
        <f t="shared" si="22"/>
        <v>0.09</v>
      </c>
      <c r="AV68">
        <f t="shared" si="23"/>
        <v>0.05</v>
      </c>
      <c r="AW68">
        <f t="shared" si="24"/>
        <v>0.36</v>
      </c>
      <c r="AX68">
        <f t="shared" si="25"/>
        <v>0.64</v>
      </c>
      <c r="AY68">
        <f t="shared" si="26"/>
        <v>0.48</v>
      </c>
      <c r="AZ68">
        <f t="shared" si="27"/>
        <v>0.4</v>
      </c>
    </row>
    <row r="69" spans="1:52" x14ac:dyDescent="0.3">
      <c r="A69" t="s">
        <v>65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0.06</v>
      </c>
      <c r="J69">
        <v>0.04</v>
      </c>
      <c r="K69">
        <v>0.75</v>
      </c>
      <c r="L69">
        <v>0.47</v>
      </c>
      <c r="M69">
        <v>0.69</v>
      </c>
      <c r="N69">
        <v>0.54</v>
      </c>
      <c r="O69">
        <f t="shared" si="4"/>
        <v>0.06</v>
      </c>
      <c r="P69">
        <f t="shared" si="5"/>
        <v>0.04</v>
      </c>
      <c r="Q69">
        <f t="shared" si="6"/>
        <v>0.75</v>
      </c>
      <c r="R69">
        <f t="shared" si="7"/>
        <v>0.47</v>
      </c>
      <c r="S69">
        <f t="shared" si="8"/>
        <v>0.69</v>
      </c>
      <c r="T69">
        <f t="shared" si="9"/>
        <v>0.54</v>
      </c>
      <c r="V69">
        <v>1</v>
      </c>
      <c r="W69">
        <v>1</v>
      </c>
      <c r="X69">
        <v>-1</v>
      </c>
      <c r="Y69">
        <v>1</v>
      </c>
      <c r="Z69">
        <v>1</v>
      </c>
      <c r="AA69">
        <v>1</v>
      </c>
      <c r="AB69">
        <v>0.09</v>
      </c>
      <c r="AC69">
        <v>0.05</v>
      </c>
      <c r="AD69">
        <v>0.51</v>
      </c>
      <c r="AE69">
        <v>0.6</v>
      </c>
      <c r="AF69">
        <v>1.1499999999999999</v>
      </c>
      <c r="AG69">
        <v>0.66</v>
      </c>
      <c r="AH69">
        <f t="shared" si="10"/>
        <v>0.09</v>
      </c>
      <c r="AI69">
        <f t="shared" si="11"/>
        <v>0.05</v>
      </c>
      <c r="AJ69" t="e">
        <f t="shared" si="12"/>
        <v>#N/A</v>
      </c>
      <c r="AK69">
        <f t="shared" si="13"/>
        <v>0.6</v>
      </c>
      <c r="AL69">
        <f t="shared" si="14"/>
        <v>1.1499999999999999</v>
      </c>
      <c r="AM69">
        <f t="shared" si="15"/>
        <v>0.66</v>
      </c>
      <c r="AO69">
        <f t="shared" si="16"/>
        <v>0.06</v>
      </c>
      <c r="AP69">
        <f t="shared" si="17"/>
        <v>0.04</v>
      </c>
      <c r="AQ69" t="e">
        <f t="shared" si="18"/>
        <v>#N/A</v>
      </c>
      <c r="AR69">
        <f t="shared" si="19"/>
        <v>0.47</v>
      </c>
      <c r="AS69">
        <f t="shared" si="20"/>
        <v>0.69</v>
      </c>
      <c r="AT69">
        <f t="shared" si="21"/>
        <v>0.54</v>
      </c>
      <c r="AU69">
        <f t="shared" si="22"/>
        <v>0.09</v>
      </c>
      <c r="AV69">
        <f t="shared" si="23"/>
        <v>0.05</v>
      </c>
      <c r="AW69" t="e">
        <f t="shared" si="24"/>
        <v>#N/A</v>
      </c>
      <c r="AX69">
        <f t="shared" si="25"/>
        <v>0.6</v>
      </c>
      <c r="AY69">
        <f t="shared" si="26"/>
        <v>1.1499999999999999</v>
      </c>
      <c r="AZ69">
        <f t="shared" si="27"/>
        <v>0.66</v>
      </c>
    </row>
    <row r="70" spans="1:52" x14ac:dyDescent="0.3">
      <c r="A70" t="s">
        <v>66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0.18</v>
      </c>
      <c r="J70">
        <v>0.17</v>
      </c>
      <c r="K70">
        <v>2.44</v>
      </c>
      <c r="L70">
        <v>2.16</v>
      </c>
      <c r="M70">
        <v>3.31</v>
      </c>
      <c r="N70">
        <v>4.01</v>
      </c>
      <c r="O70">
        <f t="shared" si="4"/>
        <v>0.18</v>
      </c>
      <c r="P70">
        <f t="shared" si="5"/>
        <v>0.17</v>
      </c>
      <c r="Q70">
        <f t="shared" si="6"/>
        <v>2.44</v>
      </c>
      <c r="R70">
        <f t="shared" si="7"/>
        <v>2.16</v>
      </c>
      <c r="S70">
        <f t="shared" si="8"/>
        <v>3.31</v>
      </c>
      <c r="T70">
        <f t="shared" si="9"/>
        <v>4.01</v>
      </c>
      <c r="V70">
        <v>1</v>
      </c>
      <c r="W70">
        <v>1</v>
      </c>
      <c r="X70">
        <v>1</v>
      </c>
      <c r="Y70">
        <v>1</v>
      </c>
      <c r="Z70">
        <v>-1</v>
      </c>
      <c r="AA70">
        <v>1</v>
      </c>
      <c r="AB70">
        <v>0.2</v>
      </c>
      <c r="AC70">
        <v>0.2</v>
      </c>
      <c r="AD70">
        <v>1.63</v>
      </c>
      <c r="AE70">
        <v>3.03</v>
      </c>
      <c r="AF70">
        <v>5.39</v>
      </c>
      <c r="AG70">
        <v>2.97</v>
      </c>
      <c r="AH70">
        <f t="shared" si="10"/>
        <v>0.2</v>
      </c>
      <c r="AI70">
        <f t="shared" si="11"/>
        <v>0.2</v>
      </c>
      <c r="AJ70">
        <f t="shared" si="12"/>
        <v>1.63</v>
      </c>
      <c r="AK70">
        <f t="shared" si="13"/>
        <v>3.03</v>
      </c>
      <c r="AL70" t="e">
        <f t="shared" si="14"/>
        <v>#N/A</v>
      </c>
      <c r="AM70">
        <f t="shared" si="15"/>
        <v>2.97</v>
      </c>
      <c r="AO70">
        <f t="shared" si="16"/>
        <v>0.18</v>
      </c>
      <c r="AP70">
        <f t="shared" si="17"/>
        <v>0.17</v>
      </c>
      <c r="AQ70">
        <f t="shared" si="18"/>
        <v>2.44</v>
      </c>
      <c r="AR70">
        <f t="shared" si="19"/>
        <v>2.16</v>
      </c>
      <c r="AS70" t="e">
        <f t="shared" si="20"/>
        <v>#N/A</v>
      </c>
      <c r="AT70">
        <f t="shared" si="21"/>
        <v>4.01</v>
      </c>
      <c r="AU70">
        <f t="shared" si="22"/>
        <v>0.2</v>
      </c>
      <c r="AV70">
        <f t="shared" si="23"/>
        <v>0.2</v>
      </c>
      <c r="AW70">
        <f t="shared" si="24"/>
        <v>1.63</v>
      </c>
      <c r="AX70">
        <f t="shared" si="25"/>
        <v>3.03</v>
      </c>
      <c r="AY70" t="e">
        <f t="shared" si="26"/>
        <v>#N/A</v>
      </c>
      <c r="AZ70">
        <f t="shared" si="27"/>
        <v>2.97</v>
      </c>
    </row>
    <row r="71" spans="1:52" x14ac:dyDescent="0.3">
      <c r="A71" t="s">
        <v>67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0.31</v>
      </c>
      <c r="J71">
        <v>0.76</v>
      </c>
      <c r="K71">
        <v>4.49</v>
      </c>
      <c r="L71">
        <v>4.5</v>
      </c>
      <c r="M71">
        <v>7.8</v>
      </c>
      <c r="N71">
        <v>5.36</v>
      </c>
      <c r="O71">
        <f t="shared" si="4"/>
        <v>0.31</v>
      </c>
      <c r="P71">
        <f t="shared" si="5"/>
        <v>0.76</v>
      </c>
      <c r="Q71">
        <f t="shared" si="6"/>
        <v>4.49</v>
      </c>
      <c r="R71">
        <f t="shared" si="7"/>
        <v>4.5</v>
      </c>
      <c r="S71">
        <f t="shared" si="8"/>
        <v>7.8</v>
      </c>
      <c r="T71">
        <f t="shared" si="9"/>
        <v>5.36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0.45</v>
      </c>
      <c r="AC71">
        <v>0.73</v>
      </c>
      <c r="AD71">
        <v>3.9</v>
      </c>
      <c r="AE71">
        <v>9.52</v>
      </c>
      <c r="AF71">
        <v>13.75</v>
      </c>
      <c r="AG71">
        <v>6.08</v>
      </c>
      <c r="AH71">
        <f t="shared" si="10"/>
        <v>0.45</v>
      </c>
      <c r="AI71">
        <f t="shared" si="11"/>
        <v>0.73</v>
      </c>
      <c r="AJ71">
        <f t="shared" si="12"/>
        <v>3.9</v>
      </c>
      <c r="AK71">
        <f t="shared" si="13"/>
        <v>9.52</v>
      </c>
      <c r="AL71">
        <f t="shared" si="14"/>
        <v>13.75</v>
      </c>
      <c r="AM71">
        <f t="shared" si="15"/>
        <v>6.08</v>
      </c>
      <c r="AO71">
        <f t="shared" si="16"/>
        <v>0.31</v>
      </c>
      <c r="AP71">
        <f t="shared" si="17"/>
        <v>0.76</v>
      </c>
      <c r="AQ71">
        <f t="shared" si="18"/>
        <v>4.49</v>
      </c>
      <c r="AR71">
        <f t="shared" si="19"/>
        <v>4.5</v>
      </c>
      <c r="AS71">
        <f t="shared" si="20"/>
        <v>7.8</v>
      </c>
      <c r="AT71">
        <f t="shared" si="21"/>
        <v>5.36</v>
      </c>
      <c r="AU71">
        <f t="shared" si="22"/>
        <v>0.45</v>
      </c>
      <c r="AV71">
        <f t="shared" si="23"/>
        <v>0.73</v>
      </c>
      <c r="AW71">
        <f t="shared" si="24"/>
        <v>3.9</v>
      </c>
      <c r="AX71">
        <f t="shared" si="25"/>
        <v>9.52</v>
      </c>
      <c r="AY71">
        <f t="shared" si="26"/>
        <v>13.75</v>
      </c>
      <c r="AZ71">
        <f t="shared" si="27"/>
        <v>6.08</v>
      </c>
    </row>
    <row r="72" spans="1:52" x14ac:dyDescent="0.3">
      <c r="A72" t="s">
        <v>68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0.26</v>
      </c>
      <c r="J72">
        <v>0.39</v>
      </c>
      <c r="K72">
        <v>14.3</v>
      </c>
      <c r="L72">
        <v>14.76</v>
      </c>
      <c r="M72">
        <v>14.11</v>
      </c>
      <c r="N72">
        <v>16.79</v>
      </c>
      <c r="O72">
        <f t="shared" si="4"/>
        <v>0.26</v>
      </c>
      <c r="P72">
        <f t="shared" si="5"/>
        <v>0.39</v>
      </c>
      <c r="Q72">
        <f t="shared" si="6"/>
        <v>14.3</v>
      </c>
      <c r="R72">
        <f t="shared" si="7"/>
        <v>14.76</v>
      </c>
      <c r="S72">
        <f t="shared" si="8"/>
        <v>14.11</v>
      </c>
      <c r="T72">
        <f t="shared" si="9"/>
        <v>16.79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0.42</v>
      </c>
      <c r="AC72">
        <v>0.42</v>
      </c>
      <c r="AD72">
        <v>13.16</v>
      </c>
      <c r="AE72">
        <v>11.34</v>
      </c>
      <c r="AF72">
        <v>26.84</v>
      </c>
      <c r="AG72">
        <v>11.65</v>
      </c>
      <c r="AH72">
        <f t="shared" si="10"/>
        <v>0.42</v>
      </c>
      <c r="AI72">
        <f t="shared" si="11"/>
        <v>0.42</v>
      </c>
      <c r="AJ72">
        <f t="shared" si="12"/>
        <v>13.16</v>
      </c>
      <c r="AK72">
        <f t="shared" si="13"/>
        <v>11.34</v>
      </c>
      <c r="AL72">
        <f t="shared" si="14"/>
        <v>26.84</v>
      </c>
      <c r="AM72">
        <f t="shared" si="15"/>
        <v>11.65</v>
      </c>
      <c r="AO72">
        <f t="shared" si="16"/>
        <v>0.26</v>
      </c>
      <c r="AP72">
        <f t="shared" si="17"/>
        <v>0.39</v>
      </c>
      <c r="AQ72">
        <f t="shared" si="18"/>
        <v>14.3</v>
      </c>
      <c r="AR72">
        <f t="shared" si="19"/>
        <v>14.76</v>
      </c>
      <c r="AS72">
        <f t="shared" si="20"/>
        <v>14.11</v>
      </c>
      <c r="AT72">
        <f t="shared" si="21"/>
        <v>16.79</v>
      </c>
      <c r="AU72">
        <f t="shared" si="22"/>
        <v>0.42</v>
      </c>
      <c r="AV72">
        <f t="shared" si="23"/>
        <v>0.42</v>
      </c>
      <c r="AW72">
        <f t="shared" si="24"/>
        <v>13.16</v>
      </c>
      <c r="AX72">
        <f t="shared" si="25"/>
        <v>11.34</v>
      </c>
      <c r="AY72">
        <f t="shared" si="26"/>
        <v>26.84</v>
      </c>
      <c r="AZ72">
        <f t="shared" si="27"/>
        <v>11.65</v>
      </c>
    </row>
    <row r="73" spans="1:52" x14ac:dyDescent="0.3">
      <c r="A73" t="s">
        <v>69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0.43</v>
      </c>
      <c r="J73">
        <v>0.5</v>
      </c>
      <c r="K73">
        <v>23.63</v>
      </c>
      <c r="L73">
        <v>25.4</v>
      </c>
      <c r="M73">
        <v>57.71</v>
      </c>
      <c r="N73">
        <v>50.32</v>
      </c>
      <c r="O73">
        <f t="shared" si="4"/>
        <v>0.43</v>
      </c>
      <c r="P73">
        <f t="shared" si="5"/>
        <v>0.5</v>
      </c>
      <c r="Q73">
        <f t="shared" si="6"/>
        <v>23.63</v>
      </c>
      <c r="R73">
        <f t="shared" si="7"/>
        <v>25.4</v>
      </c>
      <c r="S73">
        <f t="shared" si="8"/>
        <v>57.71</v>
      </c>
      <c r="T73">
        <f t="shared" si="9"/>
        <v>50.32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0.64</v>
      </c>
      <c r="AC73">
        <v>0.55000000000000004</v>
      </c>
      <c r="AD73">
        <v>74.180000000000007</v>
      </c>
      <c r="AE73">
        <v>40.43</v>
      </c>
      <c r="AF73">
        <v>55.14</v>
      </c>
      <c r="AG73">
        <v>29.64</v>
      </c>
      <c r="AH73">
        <f t="shared" si="10"/>
        <v>0.64</v>
      </c>
      <c r="AI73">
        <f t="shared" si="11"/>
        <v>0.55000000000000004</v>
      </c>
      <c r="AJ73">
        <f t="shared" si="12"/>
        <v>74.180000000000007</v>
      </c>
      <c r="AK73">
        <f t="shared" si="13"/>
        <v>40.43</v>
      </c>
      <c r="AL73">
        <f t="shared" si="14"/>
        <v>55.14</v>
      </c>
      <c r="AM73">
        <f t="shared" si="15"/>
        <v>29.64</v>
      </c>
      <c r="AO73">
        <f t="shared" si="16"/>
        <v>0.43</v>
      </c>
      <c r="AP73">
        <f t="shared" si="17"/>
        <v>0.5</v>
      </c>
      <c r="AQ73">
        <f t="shared" si="18"/>
        <v>23.63</v>
      </c>
      <c r="AR73">
        <f t="shared" si="19"/>
        <v>25.4</v>
      </c>
      <c r="AS73">
        <f t="shared" si="20"/>
        <v>57.71</v>
      </c>
      <c r="AT73">
        <f t="shared" si="21"/>
        <v>50.32</v>
      </c>
      <c r="AU73">
        <f t="shared" si="22"/>
        <v>0.64</v>
      </c>
      <c r="AV73">
        <f t="shared" si="23"/>
        <v>0.55000000000000004</v>
      </c>
      <c r="AW73">
        <f t="shared" si="24"/>
        <v>74.180000000000007</v>
      </c>
      <c r="AX73">
        <f t="shared" si="25"/>
        <v>40.43</v>
      </c>
      <c r="AY73">
        <f t="shared" si="26"/>
        <v>55.14</v>
      </c>
      <c r="AZ73">
        <f t="shared" si="27"/>
        <v>29.64</v>
      </c>
    </row>
    <row r="74" spans="1:52" x14ac:dyDescent="0.3">
      <c r="A74" t="s">
        <v>70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1.1000000000000001</v>
      </c>
      <c r="J74">
        <v>0.98</v>
      </c>
      <c r="K74">
        <v>31.81</v>
      </c>
      <c r="L74">
        <v>23.01</v>
      </c>
      <c r="M74">
        <v>37.869999999999997</v>
      </c>
      <c r="N74">
        <v>34.57</v>
      </c>
      <c r="O74">
        <f t="shared" si="4"/>
        <v>1.1000000000000001</v>
      </c>
      <c r="P74">
        <f t="shared" si="5"/>
        <v>0.98</v>
      </c>
      <c r="Q74">
        <f t="shared" si="6"/>
        <v>31.81</v>
      </c>
      <c r="R74">
        <f t="shared" si="7"/>
        <v>23.01</v>
      </c>
      <c r="S74">
        <f t="shared" si="8"/>
        <v>37.869999999999997</v>
      </c>
      <c r="T74">
        <f t="shared" si="9"/>
        <v>34.57</v>
      </c>
      <c r="V74">
        <v>1</v>
      </c>
      <c r="W74">
        <v>1</v>
      </c>
      <c r="X74">
        <v>-1</v>
      </c>
      <c r="Y74">
        <v>1</v>
      </c>
      <c r="Z74">
        <v>-1</v>
      </c>
      <c r="AA74">
        <v>1</v>
      </c>
      <c r="AB74">
        <v>1.69</v>
      </c>
      <c r="AC74">
        <v>1.25</v>
      </c>
      <c r="AD74">
        <v>28.84</v>
      </c>
      <c r="AE74">
        <v>57.37</v>
      </c>
      <c r="AF74">
        <v>77.47</v>
      </c>
      <c r="AG74">
        <v>68.709999999999994</v>
      </c>
      <c r="AH74">
        <f t="shared" si="10"/>
        <v>1.69</v>
      </c>
      <c r="AI74">
        <f t="shared" si="11"/>
        <v>1.25</v>
      </c>
      <c r="AJ74" t="e">
        <f t="shared" si="12"/>
        <v>#N/A</v>
      </c>
      <c r="AK74">
        <f t="shared" si="13"/>
        <v>57.37</v>
      </c>
      <c r="AL74" t="e">
        <f t="shared" si="14"/>
        <v>#N/A</v>
      </c>
      <c r="AM74">
        <f t="shared" si="15"/>
        <v>68.709999999999994</v>
      </c>
      <c r="AO74">
        <f t="shared" si="16"/>
        <v>1.1000000000000001</v>
      </c>
      <c r="AP74">
        <f t="shared" si="17"/>
        <v>0.98</v>
      </c>
      <c r="AQ74" t="e">
        <f t="shared" si="18"/>
        <v>#N/A</v>
      </c>
      <c r="AR74">
        <f t="shared" si="19"/>
        <v>23.01</v>
      </c>
      <c r="AS74" t="e">
        <f t="shared" si="20"/>
        <v>#N/A</v>
      </c>
      <c r="AT74">
        <f t="shared" si="21"/>
        <v>34.57</v>
      </c>
      <c r="AU74">
        <f t="shared" si="22"/>
        <v>1.69</v>
      </c>
      <c r="AV74">
        <f t="shared" si="23"/>
        <v>1.25</v>
      </c>
      <c r="AW74" t="e">
        <f t="shared" si="24"/>
        <v>#N/A</v>
      </c>
      <c r="AX74">
        <f t="shared" si="25"/>
        <v>57.37</v>
      </c>
      <c r="AY74" t="e">
        <f t="shared" si="26"/>
        <v>#N/A</v>
      </c>
      <c r="AZ74">
        <f t="shared" si="27"/>
        <v>68.709999999999994</v>
      </c>
    </row>
    <row r="75" spans="1:52" x14ac:dyDescent="0.3">
      <c r="A75" t="s">
        <v>71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0.2</v>
      </c>
      <c r="J75">
        <v>0.05</v>
      </c>
      <c r="K75">
        <v>2.5299999999999998</v>
      </c>
      <c r="L75">
        <v>1.32</v>
      </c>
      <c r="M75">
        <v>2.2599999999999998</v>
      </c>
      <c r="N75">
        <v>2.73</v>
      </c>
      <c r="O75">
        <f t="shared" si="4"/>
        <v>0.2</v>
      </c>
      <c r="P75">
        <f t="shared" si="5"/>
        <v>0.05</v>
      </c>
      <c r="Q75">
        <f t="shared" si="6"/>
        <v>2.5299999999999998</v>
      </c>
      <c r="R75">
        <f t="shared" si="7"/>
        <v>1.32</v>
      </c>
      <c r="S75">
        <f t="shared" si="8"/>
        <v>2.2599999999999998</v>
      </c>
      <c r="T75">
        <f t="shared" si="9"/>
        <v>2.73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0.17</v>
      </c>
      <c r="AC75">
        <v>0.09</v>
      </c>
      <c r="AD75">
        <v>2.29</v>
      </c>
      <c r="AE75">
        <v>2.46</v>
      </c>
      <c r="AF75">
        <v>3.21</v>
      </c>
      <c r="AG75">
        <v>2.0499999999999998</v>
      </c>
      <c r="AH75">
        <f t="shared" si="10"/>
        <v>0.17</v>
      </c>
      <c r="AI75">
        <f t="shared" si="11"/>
        <v>0.09</v>
      </c>
      <c r="AJ75">
        <f t="shared" si="12"/>
        <v>2.29</v>
      </c>
      <c r="AK75">
        <f t="shared" si="13"/>
        <v>2.46</v>
      </c>
      <c r="AL75">
        <f t="shared" si="14"/>
        <v>3.21</v>
      </c>
      <c r="AM75">
        <f t="shared" si="15"/>
        <v>2.0499999999999998</v>
      </c>
      <c r="AO75">
        <f t="shared" si="16"/>
        <v>0.2</v>
      </c>
      <c r="AP75">
        <f t="shared" si="17"/>
        <v>0.05</v>
      </c>
      <c r="AQ75">
        <f t="shared" si="18"/>
        <v>2.5299999999999998</v>
      </c>
      <c r="AR75">
        <f t="shared" si="19"/>
        <v>1.32</v>
      </c>
      <c r="AS75">
        <f t="shared" si="20"/>
        <v>2.2599999999999998</v>
      </c>
      <c r="AT75">
        <f t="shared" si="21"/>
        <v>2.73</v>
      </c>
      <c r="AU75">
        <f t="shared" si="22"/>
        <v>0.17</v>
      </c>
      <c r="AV75">
        <f t="shared" si="23"/>
        <v>0.09</v>
      </c>
      <c r="AW75">
        <f t="shared" si="24"/>
        <v>2.29</v>
      </c>
      <c r="AX75">
        <f t="shared" si="25"/>
        <v>2.46</v>
      </c>
      <c r="AY75">
        <f t="shared" si="26"/>
        <v>3.21</v>
      </c>
      <c r="AZ75">
        <f t="shared" si="27"/>
        <v>2.0499999999999998</v>
      </c>
    </row>
    <row r="76" spans="1:52" x14ac:dyDescent="0.3">
      <c r="A76" t="s">
        <v>72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0.18</v>
      </c>
      <c r="J76">
        <v>0.03</v>
      </c>
      <c r="K76">
        <v>5.17</v>
      </c>
      <c r="L76">
        <v>1.89</v>
      </c>
      <c r="M76">
        <v>3.89</v>
      </c>
      <c r="N76">
        <v>5.07</v>
      </c>
      <c r="O76">
        <f t="shared" si="4"/>
        <v>0.18</v>
      </c>
      <c r="P76">
        <f t="shared" si="5"/>
        <v>0.03</v>
      </c>
      <c r="Q76">
        <f t="shared" si="6"/>
        <v>5.17</v>
      </c>
      <c r="R76">
        <f t="shared" si="7"/>
        <v>1.89</v>
      </c>
      <c r="S76">
        <f t="shared" si="8"/>
        <v>3.89</v>
      </c>
      <c r="T76">
        <f t="shared" si="9"/>
        <v>5.07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0.1</v>
      </c>
      <c r="AC76">
        <v>0.05</v>
      </c>
      <c r="AD76">
        <v>3.76</v>
      </c>
      <c r="AE76">
        <v>5.14</v>
      </c>
      <c r="AF76">
        <v>7.56</v>
      </c>
      <c r="AG76">
        <v>2.6</v>
      </c>
      <c r="AH76">
        <f t="shared" si="10"/>
        <v>0.1</v>
      </c>
      <c r="AI76">
        <f t="shared" si="11"/>
        <v>0.05</v>
      </c>
      <c r="AJ76">
        <f t="shared" si="12"/>
        <v>3.76</v>
      </c>
      <c r="AK76">
        <f t="shared" si="13"/>
        <v>5.14</v>
      </c>
      <c r="AL76">
        <f t="shared" si="14"/>
        <v>7.56</v>
      </c>
      <c r="AM76">
        <f t="shared" si="15"/>
        <v>2.6</v>
      </c>
      <c r="AO76">
        <f t="shared" si="16"/>
        <v>0.18</v>
      </c>
      <c r="AP76">
        <f t="shared" si="17"/>
        <v>0.03</v>
      </c>
      <c r="AQ76">
        <f t="shared" si="18"/>
        <v>5.17</v>
      </c>
      <c r="AR76">
        <f t="shared" si="19"/>
        <v>1.89</v>
      </c>
      <c r="AS76">
        <f t="shared" si="20"/>
        <v>3.89</v>
      </c>
      <c r="AT76">
        <f t="shared" si="21"/>
        <v>5.07</v>
      </c>
      <c r="AU76">
        <f t="shared" si="22"/>
        <v>0.1</v>
      </c>
      <c r="AV76">
        <f t="shared" si="23"/>
        <v>0.05</v>
      </c>
      <c r="AW76">
        <f t="shared" si="24"/>
        <v>3.76</v>
      </c>
      <c r="AX76">
        <f t="shared" si="25"/>
        <v>5.14</v>
      </c>
      <c r="AY76">
        <f t="shared" si="26"/>
        <v>7.56</v>
      </c>
      <c r="AZ76">
        <f t="shared" si="27"/>
        <v>2.6</v>
      </c>
    </row>
    <row r="77" spans="1:52" x14ac:dyDescent="0.3">
      <c r="A77" t="s">
        <v>73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0.15</v>
      </c>
      <c r="J77">
        <v>0.04</v>
      </c>
      <c r="K77">
        <v>8</v>
      </c>
      <c r="L77">
        <v>2.16</v>
      </c>
      <c r="M77">
        <v>5.65</v>
      </c>
      <c r="N77">
        <v>5.31</v>
      </c>
      <c r="O77">
        <f t="shared" ref="O77:O140" si="28">IF(C77&lt;0,NA(),I77)</f>
        <v>0.15</v>
      </c>
      <c r="P77">
        <f t="shared" ref="P77:P140" si="29">IF(D77&lt;0,NA(),J77)</f>
        <v>0.04</v>
      </c>
      <c r="Q77">
        <f t="shared" ref="Q77:Q140" si="30">IF(E77&lt;0,NA(),K77)</f>
        <v>8</v>
      </c>
      <c r="R77">
        <f t="shared" ref="R77:R140" si="31">IF(F77&lt;0,NA(),L77)</f>
        <v>2.16</v>
      </c>
      <c r="S77">
        <f t="shared" ref="S77:S140" si="32">IF(G77&lt;0,NA(),M77)</f>
        <v>5.65</v>
      </c>
      <c r="T77">
        <f t="shared" ref="T77:T140" si="33">IF(H77&lt;0,NA(),N77)</f>
        <v>5.31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0.19</v>
      </c>
      <c r="AC77">
        <v>0.09</v>
      </c>
      <c r="AD77">
        <v>3.51</v>
      </c>
      <c r="AE77">
        <v>6.31</v>
      </c>
      <c r="AF77">
        <v>11.85</v>
      </c>
      <c r="AG77">
        <v>3.89</v>
      </c>
      <c r="AH77">
        <f t="shared" ref="AH77:AH140" si="34">IF(V77&lt;0,NA(),AB77)</f>
        <v>0.19</v>
      </c>
      <c r="AI77">
        <f t="shared" ref="AI77:AI140" si="35">IF(W77&lt;0,NA(),AC77)</f>
        <v>0.09</v>
      </c>
      <c r="AJ77">
        <f t="shared" ref="AJ77:AJ140" si="36">IF(X77&lt;0,NA(),AD77)</f>
        <v>3.51</v>
      </c>
      <c r="AK77">
        <f t="shared" ref="AK77:AK140" si="37">IF(Y77&lt;0,NA(),AE77)</f>
        <v>6.31</v>
      </c>
      <c r="AL77">
        <f t="shared" ref="AL77:AL140" si="38">IF(Z77&lt;0,NA(),AF77)</f>
        <v>11.85</v>
      </c>
      <c r="AM77">
        <f t="shared" ref="AM77:AM140" si="39">IF(AA77&lt;0,NA(),AG77)</f>
        <v>3.89</v>
      </c>
      <c r="AO77">
        <f t="shared" ref="AO77:AO140" si="40">IF(OR(ISNA(O77),ISNA(AH77),AND(O77=36000,AH77=36000)),NA(), O77)</f>
        <v>0.15</v>
      </c>
      <c r="AP77">
        <f t="shared" ref="AP77:AP140" si="41">IF(OR(ISNA(P77),ISNA(AI77),AND(P77=36000,AI77=36000)),NA(), P77)</f>
        <v>0.04</v>
      </c>
      <c r="AQ77">
        <f t="shared" ref="AQ77:AQ140" si="42">IF(OR(ISNA(Q77),ISNA(AJ77),AND(Q77=36000,AJ77=36000)),NA(), Q77)</f>
        <v>8</v>
      </c>
      <c r="AR77">
        <f t="shared" ref="AR77:AR140" si="43">IF(OR(ISNA(R77),ISNA(AK77),AND(R77=36000,AK77=36000)),NA(), R77)</f>
        <v>2.16</v>
      </c>
      <c r="AS77">
        <f t="shared" ref="AS77:AS140" si="44">IF(OR(ISNA(S77),ISNA(AL77),AND(S77=36000,AL77=36000)),NA(), S77)</f>
        <v>5.65</v>
      </c>
      <c r="AT77">
        <f t="shared" ref="AT77:AT140" si="45">IF(OR(ISNA(T77),ISNA(AM77),AND(T77=36000,AM77=36000)),NA(), T77)</f>
        <v>5.31</v>
      </c>
      <c r="AU77">
        <f t="shared" ref="AU77:AU140" si="46">IF(OR(ISNA(O77),ISNA(AH77),AND(O77=36000,AH77=36000)),NA(), AH77)</f>
        <v>0.19</v>
      </c>
      <c r="AV77">
        <f t="shared" ref="AV77:AV140" si="47">IF(OR(ISNA(P77),ISNA(AI77),AND(P77=36000,AI77=36000)),NA(), AI77)</f>
        <v>0.09</v>
      </c>
      <c r="AW77">
        <f t="shared" ref="AW77:AW140" si="48">IF(OR(ISNA(Q77),ISNA(AJ77),AND(Q77=36000,AJ77=36000)),NA(), AJ77)</f>
        <v>3.51</v>
      </c>
      <c r="AX77">
        <f t="shared" ref="AX77:AX140" si="49">IF(OR(ISNA(R77),ISNA(AK77),AND(R77=36000,AK77=36000)),NA(), AK77)</f>
        <v>6.31</v>
      </c>
      <c r="AY77">
        <f t="shared" ref="AY77:AY140" si="50">IF(OR(ISNA(S77),ISNA(AL77),AND(S77=36000,AL77=36000)),NA(), AL77)</f>
        <v>11.85</v>
      </c>
      <c r="AZ77">
        <f t="shared" ref="AZ77:AZ140" si="51">IF(OR(ISNA(T77),ISNA(AM77),AND(T77=36000,AM77=36000)),NA(), AM77)</f>
        <v>3.89</v>
      </c>
    </row>
    <row r="78" spans="1:52" x14ac:dyDescent="0.3">
      <c r="A78" t="s">
        <v>74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0.3</v>
      </c>
      <c r="J78">
        <v>0.13</v>
      </c>
      <c r="K78">
        <v>3.82</v>
      </c>
      <c r="L78">
        <v>3.39</v>
      </c>
      <c r="M78">
        <v>2.79</v>
      </c>
      <c r="N78">
        <v>4.22</v>
      </c>
      <c r="O78">
        <f t="shared" si="28"/>
        <v>0.3</v>
      </c>
      <c r="P78">
        <f t="shared" si="29"/>
        <v>0.13</v>
      </c>
      <c r="Q78">
        <f t="shared" si="30"/>
        <v>3.82</v>
      </c>
      <c r="R78">
        <f t="shared" si="31"/>
        <v>3.39</v>
      </c>
      <c r="S78">
        <f t="shared" si="32"/>
        <v>2.79</v>
      </c>
      <c r="T78">
        <f t="shared" si="33"/>
        <v>4.22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0.22</v>
      </c>
      <c r="AC78">
        <v>0.16</v>
      </c>
      <c r="AD78">
        <v>3.22</v>
      </c>
      <c r="AE78">
        <v>3.31</v>
      </c>
      <c r="AF78">
        <v>4.7</v>
      </c>
      <c r="AG78">
        <v>3.37</v>
      </c>
      <c r="AH78">
        <f t="shared" si="34"/>
        <v>0.22</v>
      </c>
      <c r="AI78">
        <f t="shared" si="35"/>
        <v>0.16</v>
      </c>
      <c r="AJ78">
        <f t="shared" si="36"/>
        <v>3.22</v>
      </c>
      <c r="AK78">
        <f t="shared" si="37"/>
        <v>3.31</v>
      </c>
      <c r="AL78">
        <f t="shared" si="38"/>
        <v>4.7</v>
      </c>
      <c r="AM78">
        <f t="shared" si="39"/>
        <v>3.37</v>
      </c>
      <c r="AO78">
        <f t="shared" si="40"/>
        <v>0.3</v>
      </c>
      <c r="AP78">
        <f t="shared" si="41"/>
        <v>0.13</v>
      </c>
      <c r="AQ78">
        <f t="shared" si="42"/>
        <v>3.82</v>
      </c>
      <c r="AR78">
        <f t="shared" si="43"/>
        <v>3.39</v>
      </c>
      <c r="AS78">
        <f t="shared" si="44"/>
        <v>2.79</v>
      </c>
      <c r="AT78">
        <f t="shared" si="45"/>
        <v>4.22</v>
      </c>
      <c r="AU78">
        <f t="shared" si="46"/>
        <v>0.22</v>
      </c>
      <c r="AV78">
        <f t="shared" si="47"/>
        <v>0.16</v>
      </c>
      <c r="AW78">
        <f t="shared" si="48"/>
        <v>3.22</v>
      </c>
      <c r="AX78">
        <f t="shared" si="49"/>
        <v>3.31</v>
      </c>
      <c r="AY78">
        <f t="shared" si="50"/>
        <v>4.7</v>
      </c>
      <c r="AZ78">
        <f t="shared" si="51"/>
        <v>3.37</v>
      </c>
    </row>
    <row r="79" spans="1:52" x14ac:dyDescent="0.3">
      <c r="A79" t="s">
        <v>75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0.49</v>
      </c>
      <c r="J79">
        <v>1.2</v>
      </c>
      <c r="K79">
        <v>18.18</v>
      </c>
      <c r="L79">
        <v>6.31</v>
      </c>
      <c r="M79">
        <v>21.31</v>
      </c>
      <c r="N79">
        <v>11.84</v>
      </c>
      <c r="O79">
        <f t="shared" si="28"/>
        <v>0.49</v>
      </c>
      <c r="P79">
        <f t="shared" si="29"/>
        <v>1.2</v>
      </c>
      <c r="Q79">
        <f t="shared" si="30"/>
        <v>18.18</v>
      </c>
      <c r="R79">
        <f t="shared" si="31"/>
        <v>6.31</v>
      </c>
      <c r="S79">
        <f t="shared" si="32"/>
        <v>21.31</v>
      </c>
      <c r="T79">
        <f t="shared" si="33"/>
        <v>11.84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0.68</v>
      </c>
      <c r="AC79">
        <v>0.35</v>
      </c>
      <c r="AD79">
        <v>9.31</v>
      </c>
      <c r="AE79">
        <v>17.440000000000001</v>
      </c>
      <c r="AF79">
        <v>51.39</v>
      </c>
      <c r="AG79">
        <v>16.36</v>
      </c>
      <c r="AH79">
        <f t="shared" si="34"/>
        <v>0.68</v>
      </c>
      <c r="AI79">
        <f t="shared" si="35"/>
        <v>0.35</v>
      </c>
      <c r="AJ79">
        <f t="shared" si="36"/>
        <v>9.31</v>
      </c>
      <c r="AK79">
        <f t="shared" si="37"/>
        <v>17.440000000000001</v>
      </c>
      <c r="AL79">
        <f t="shared" si="38"/>
        <v>51.39</v>
      </c>
      <c r="AM79">
        <f t="shared" si="39"/>
        <v>16.36</v>
      </c>
      <c r="AO79">
        <f t="shared" si="40"/>
        <v>0.49</v>
      </c>
      <c r="AP79">
        <f t="shared" si="41"/>
        <v>1.2</v>
      </c>
      <c r="AQ79">
        <f t="shared" si="42"/>
        <v>18.18</v>
      </c>
      <c r="AR79">
        <f t="shared" si="43"/>
        <v>6.31</v>
      </c>
      <c r="AS79">
        <f t="shared" si="44"/>
        <v>21.31</v>
      </c>
      <c r="AT79">
        <f t="shared" si="45"/>
        <v>11.84</v>
      </c>
      <c r="AU79">
        <f t="shared" si="46"/>
        <v>0.68</v>
      </c>
      <c r="AV79">
        <f t="shared" si="47"/>
        <v>0.35</v>
      </c>
      <c r="AW79">
        <f t="shared" si="48"/>
        <v>9.31</v>
      </c>
      <c r="AX79">
        <f t="shared" si="49"/>
        <v>17.440000000000001</v>
      </c>
      <c r="AY79">
        <f t="shared" si="50"/>
        <v>51.39</v>
      </c>
      <c r="AZ79">
        <f t="shared" si="51"/>
        <v>16.36</v>
      </c>
    </row>
    <row r="80" spans="1:52" x14ac:dyDescent="0.3">
      <c r="A80" t="s">
        <v>76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1.43</v>
      </c>
      <c r="J80">
        <v>2.16</v>
      </c>
      <c r="K80">
        <v>34.07</v>
      </c>
      <c r="L80">
        <v>14.72</v>
      </c>
      <c r="M80">
        <v>44.78</v>
      </c>
      <c r="N80">
        <v>27.66</v>
      </c>
      <c r="O80">
        <f t="shared" si="28"/>
        <v>1.43</v>
      </c>
      <c r="P80">
        <f t="shared" si="29"/>
        <v>2.16</v>
      </c>
      <c r="Q80">
        <f t="shared" si="30"/>
        <v>34.07</v>
      </c>
      <c r="R80">
        <f t="shared" si="31"/>
        <v>14.72</v>
      </c>
      <c r="S80">
        <f t="shared" si="32"/>
        <v>44.78</v>
      </c>
      <c r="T80">
        <f t="shared" si="33"/>
        <v>27.66</v>
      </c>
      <c r="V80">
        <v>1</v>
      </c>
      <c r="W80">
        <v>1</v>
      </c>
      <c r="X80">
        <v>-1</v>
      </c>
      <c r="Y80">
        <v>1</v>
      </c>
      <c r="Z80">
        <v>1</v>
      </c>
      <c r="AA80">
        <v>-1</v>
      </c>
      <c r="AB80">
        <v>1.58</v>
      </c>
      <c r="AC80">
        <v>1.43</v>
      </c>
      <c r="AD80">
        <v>41.73</v>
      </c>
      <c r="AE80">
        <v>50.51</v>
      </c>
      <c r="AF80">
        <v>151.29</v>
      </c>
      <c r="AG80">
        <v>52.36</v>
      </c>
      <c r="AH80">
        <f t="shared" si="34"/>
        <v>1.58</v>
      </c>
      <c r="AI80">
        <f t="shared" si="35"/>
        <v>1.43</v>
      </c>
      <c r="AJ80" t="e">
        <f t="shared" si="36"/>
        <v>#N/A</v>
      </c>
      <c r="AK80">
        <f t="shared" si="37"/>
        <v>50.51</v>
      </c>
      <c r="AL80">
        <f t="shared" si="38"/>
        <v>151.29</v>
      </c>
      <c r="AM80" t="e">
        <f t="shared" si="39"/>
        <v>#N/A</v>
      </c>
      <c r="AO80">
        <f t="shared" si="40"/>
        <v>1.43</v>
      </c>
      <c r="AP80">
        <f t="shared" si="41"/>
        <v>2.16</v>
      </c>
      <c r="AQ80" t="e">
        <f t="shared" si="42"/>
        <v>#N/A</v>
      </c>
      <c r="AR80">
        <f t="shared" si="43"/>
        <v>14.72</v>
      </c>
      <c r="AS80">
        <f t="shared" si="44"/>
        <v>44.78</v>
      </c>
      <c r="AT80" t="e">
        <f t="shared" si="45"/>
        <v>#N/A</v>
      </c>
      <c r="AU80">
        <f t="shared" si="46"/>
        <v>1.58</v>
      </c>
      <c r="AV80">
        <f t="shared" si="47"/>
        <v>1.43</v>
      </c>
      <c r="AW80" t="e">
        <f t="shared" si="48"/>
        <v>#N/A</v>
      </c>
      <c r="AX80">
        <f t="shared" si="49"/>
        <v>50.51</v>
      </c>
      <c r="AY80">
        <f t="shared" si="50"/>
        <v>151.29</v>
      </c>
      <c r="AZ80" t="e">
        <f t="shared" si="51"/>
        <v>#N/A</v>
      </c>
    </row>
    <row r="81" spans="1:52" x14ac:dyDescent="0.3">
      <c r="A81" t="s">
        <v>77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1.01</v>
      </c>
      <c r="J81">
        <v>1.63</v>
      </c>
      <c r="K81">
        <v>180.27</v>
      </c>
      <c r="L81">
        <v>121.94</v>
      </c>
      <c r="M81">
        <v>142.79</v>
      </c>
      <c r="N81">
        <v>132.19999999999999</v>
      </c>
      <c r="O81">
        <f t="shared" si="28"/>
        <v>1.01</v>
      </c>
      <c r="P81">
        <f t="shared" si="29"/>
        <v>1.63</v>
      </c>
      <c r="Q81">
        <f t="shared" si="30"/>
        <v>180.27</v>
      </c>
      <c r="R81">
        <f t="shared" si="31"/>
        <v>121.94</v>
      </c>
      <c r="S81">
        <f t="shared" si="32"/>
        <v>142.79</v>
      </c>
      <c r="T81">
        <f t="shared" si="33"/>
        <v>132.19999999999999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1.18</v>
      </c>
      <c r="AC81">
        <v>1.45</v>
      </c>
      <c r="AD81">
        <v>176.45</v>
      </c>
      <c r="AE81">
        <v>180.98</v>
      </c>
      <c r="AF81">
        <v>313.8</v>
      </c>
      <c r="AG81">
        <v>286.33999999999997</v>
      </c>
      <c r="AH81">
        <f t="shared" si="34"/>
        <v>1.18</v>
      </c>
      <c r="AI81">
        <f t="shared" si="35"/>
        <v>1.45</v>
      </c>
      <c r="AJ81">
        <f t="shared" si="36"/>
        <v>176.45</v>
      </c>
      <c r="AK81">
        <f t="shared" si="37"/>
        <v>180.98</v>
      </c>
      <c r="AL81">
        <f t="shared" si="38"/>
        <v>313.8</v>
      </c>
      <c r="AM81">
        <f t="shared" si="39"/>
        <v>286.33999999999997</v>
      </c>
      <c r="AO81">
        <f t="shared" si="40"/>
        <v>1.01</v>
      </c>
      <c r="AP81">
        <f t="shared" si="41"/>
        <v>1.63</v>
      </c>
      <c r="AQ81">
        <f t="shared" si="42"/>
        <v>180.27</v>
      </c>
      <c r="AR81">
        <f t="shared" si="43"/>
        <v>121.94</v>
      </c>
      <c r="AS81">
        <f t="shared" si="44"/>
        <v>142.79</v>
      </c>
      <c r="AT81">
        <f t="shared" si="45"/>
        <v>132.19999999999999</v>
      </c>
      <c r="AU81">
        <f t="shared" si="46"/>
        <v>1.18</v>
      </c>
      <c r="AV81">
        <f t="shared" si="47"/>
        <v>1.45</v>
      </c>
      <c r="AW81">
        <f t="shared" si="48"/>
        <v>176.45</v>
      </c>
      <c r="AX81">
        <f t="shared" si="49"/>
        <v>180.98</v>
      </c>
      <c r="AY81">
        <f t="shared" si="50"/>
        <v>313.8</v>
      </c>
      <c r="AZ81">
        <f t="shared" si="51"/>
        <v>286.33999999999997</v>
      </c>
    </row>
    <row r="82" spans="1:52" x14ac:dyDescent="0.3">
      <c r="A82" t="s">
        <v>78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5.33</v>
      </c>
      <c r="J82">
        <v>9.93</v>
      </c>
      <c r="K82">
        <v>142.35</v>
      </c>
      <c r="L82">
        <v>106.97</v>
      </c>
      <c r="M82">
        <v>151</v>
      </c>
      <c r="N82">
        <v>118.75</v>
      </c>
      <c r="O82">
        <f t="shared" si="28"/>
        <v>5.33</v>
      </c>
      <c r="P82">
        <f t="shared" si="29"/>
        <v>9.93</v>
      </c>
      <c r="Q82">
        <f t="shared" si="30"/>
        <v>142.35</v>
      </c>
      <c r="R82">
        <f t="shared" si="31"/>
        <v>106.97</v>
      </c>
      <c r="S82">
        <f t="shared" si="32"/>
        <v>151</v>
      </c>
      <c r="T82">
        <f t="shared" si="33"/>
        <v>118.75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6.51</v>
      </c>
      <c r="AC82">
        <v>6.2</v>
      </c>
      <c r="AD82">
        <v>186.66</v>
      </c>
      <c r="AE82">
        <v>185.83</v>
      </c>
      <c r="AF82">
        <v>508.28</v>
      </c>
      <c r="AG82">
        <v>188.92</v>
      </c>
      <c r="AH82">
        <f t="shared" si="34"/>
        <v>6.51</v>
      </c>
      <c r="AI82">
        <f t="shared" si="35"/>
        <v>6.2</v>
      </c>
      <c r="AJ82">
        <f t="shared" si="36"/>
        <v>186.66</v>
      </c>
      <c r="AK82">
        <f t="shared" si="37"/>
        <v>185.83</v>
      </c>
      <c r="AL82">
        <f t="shared" si="38"/>
        <v>508.28</v>
      </c>
      <c r="AM82">
        <f t="shared" si="39"/>
        <v>188.92</v>
      </c>
      <c r="AO82">
        <f t="shared" si="40"/>
        <v>5.33</v>
      </c>
      <c r="AP82">
        <f t="shared" si="41"/>
        <v>9.93</v>
      </c>
      <c r="AQ82">
        <f t="shared" si="42"/>
        <v>142.35</v>
      </c>
      <c r="AR82">
        <f t="shared" si="43"/>
        <v>106.97</v>
      </c>
      <c r="AS82">
        <f t="shared" si="44"/>
        <v>151</v>
      </c>
      <c r="AT82">
        <f t="shared" si="45"/>
        <v>118.75</v>
      </c>
      <c r="AU82">
        <f t="shared" si="46"/>
        <v>6.51</v>
      </c>
      <c r="AV82">
        <f t="shared" si="47"/>
        <v>6.2</v>
      </c>
      <c r="AW82">
        <f t="shared" si="48"/>
        <v>186.66</v>
      </c>
      <c r="AX82">
        <f t="shared" si="49"/>
        <v>185.83</v>
      </c>
      <c r="AY82">
        <f t="shared" si="50"/>
        <v>508.28</v>
      </c>
      <c r="AZ82">
        <f t="shared" si="51"/>
        <v>188.92</v>
      </c>
    </row>
    <row r="83" spans="1:52" x14ac:dyDescent="0.3">
      <c r="A83" t="s">
        <v>79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10.24</v>
      </c>
      <c r="J83">
        <v>12.26</v>
      </c>
      <c r="K83">
        <v>162.05000000000001</v>
      </c>
      <c r="L83">
        <v>133.46</v>
      </c>
      <c r="M83">
        <v>125.42</v>
      </c>
      <c r="N83">
        <v>126.6</v>
      </c>
      <c r="O83">
        <f t="shared" si="28"/>
        <v>10.24</v>
      </c>
      <c r="P83">
        <f t="shared" si="29"/>
        <v>12.26</v>
      </c>
      <c r="Q83">
        <f t="shared" si="30"/>
        <v>162.05000000000001</v>
      </c>
      <c r="R83">
        <f t="shared" si="31"/>
        <v>133.46</v>
      </c>
      <c r="S83">
        <f t="shared" si="32"/>
        <v>125.42</v>
      </c>
      <c r="T83">
        <f t="shared" si="33"/>
        <v>126.6</v>
      </c>
      <c r="V83">
        <v>1</v>
      </c>
      <c r="W83">
        <v>1</v>
      </c>
      <c r="X83">
        <v>-1</v>
      </c>
      <c r="Y83">
        <v>1</v>
      </c>
      <c r="Z83">
        <v>1</v>
      </c>
      <c r="AA83">
        <v>-1</v>
      </c>
      <c r="AB83">
        <v>12.36</v>
      </c>
      <c r="AC83">
        <v>9.27</v>
      </c>
      <c r="AD83">
        <v>485.75</v>
      </c>
      <c r="AE83">
        <v>173.65</v>
      </c>
      <c r="AF83">
        <v>394.8</v>
      </c>
      <c r="AG83">
        <v>228.29</v>
      </c>
      <c r="AH83">
        <f t="shared" si="34"/>
        <v>12.36</v>
      </c>
      <c r="AI83">
        <f t="shared" si="35"/>
        <v>9.27</v>
      </c>
      <c r="AJ83" t="e">
        <f t="shared" si="36"/>
        <v>#N/A</v>
      </c>
      <c r="AK83">
        <f t="shared" si="37"/>
        <v>173.65</v>
      </c>
      <c r="AL83">
        <f t="shared" si="38"/>
        <v>394.8</v>
      </c>
      <c r="AM83" t="e">
        <f t="shared" si="39"/>
        <v>#N/A</v>
      </c>
      <c r="AO83">
        <f t="shared" si="40"/>
        <v>10.24</v>
      </c>
      <c r="AP83">
        <f t="shared" si="41"/>
        <v>12.26</v>
      </c>
      <c r="AQ83" t="e">
        <f t="shared" si="42"/>
        <v>#N/A</v>
      </c>
      <c r="AR83">
        <f t="shared" si="43"/>
        <v>133.46</v>
      </c>
      <c r="AS83">
        <f t="shared" si="44"/>
        <v>125.42</v>
      </c>
      <c r="AT83" t="e">
        <f t="shared" si="45"/>
        <v>#N/A</v>
      </c>
      <c r="AU83">
        <f t="shared" si="46"/>
        <v>12.36</v>
      </c>
      <c r="AV83">
        <f t="shared" si="47"/>
        <v>9.27</v>
      </c>
      <c r="AW83" t="e">
        <f t="shared" si="48"/>
        <v>#N/A</v>
      </c>
      <c r="AX83">
        <f t="shared" si="49"/>
        <v>173.65</v>
      </c>
      <c r="AY83">
        <f t="shared" si="50"/>
        <v>394.8</v>
      </c>
      <c r="AZ83" t="e">
        <f t="shared" si="51"/>
        <v>#N/A</v>
      </c>
    </row>
    <row r="84" spans="1:52" x14ac:dyDescent="0.3">
      <c r="A84" t="s">
        <v>80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0.42</v>
      </c>
      <c r="J84">
        <v>0.3</v>
      </c>
      <c r="K84">
        <v>31.84</v>
      </c>
      <c r="L84">
        <v>30.09</v>
      </c>
      <c r="M84">
        <v>24.29</v>
      </c>
      <c r="N84">
        <v>25.73</v>
      </c>
      <c r="O84">
        <f t="shared" si="28"/>
        <v>0.42</v>
      </c>
      <c r="P84">
        <f t="shared" si="29"/>
        <v>0.3</v>
      </c>
      <c r="Q84">
        <f t="shared" si="30"/>
        <v>31.84</v>
      </c>
      <c r="R84">
        <f t="shared" si="31"/>
        <v>30.09</v>
      </c>
      <c r="S84">
        <f t="shared" si="32"/>
        <v>24.29</v>
      </c>
      <c r="T84">
        <f t="shared" si="33"/>
        <v>25.73</v>
      </c>
      <c r="V84">
        <v>1</v>
      </c>
      <c r="W84">
        <v>1</v>
      </c>
      <c r="X84">
        <v>1</v>
      </c>
      <c r="Y84">
        <v>1</v>
      </c>
      <c r="Z84">
        <v>1</v>
      </c>
      <c r="AA84">
        <v>-1</v>
      </c>
      <c r="AB84">
        <v>0.18</v>
      </c>
      <c r="AC84">
        <v>0.12</v>
      </c>
      <c r="AD84">
        <v>10.99</v>
      </c>
      <c r="AE84">
        <v>16.420000000000002</v>
      </c>
      <c r="AF84">
        <v>39.32</v>
      </c>
      <c r="AG84">
        <v>7.77</v>
      </c>
      <c r="AH84">
        <f t="shared" si="34"/>
        <v>0.18</v>
      </c>
      <c r="AI84">
        <f t="shared" si="35"/>
        <v>0.12</v>
      </c>
      <c r="AJ84">
        <f t="shared" si="36"/>
        <v>10.99</v>
      </c>
      <c r="AK84">
        <f t="shared" si="37"/>
        <v>16.420000000000002</v>
      </c>
      <c r="AL84">
        <f t="shared" si="38"/>
        <v>39.32</v>
      </c>
      <c r="AM84" t="e">
        <f t="shared" si="39"/>
        <v>#N/A</v>
      </c>
      <c r="AO84">
        <f t="shared" si="40"/>
        <v>0.42</v>
      </c>
      <c r="AP84">
        <f t="shared" si="41"/>
        <v>0.3</v>
      </c>
      <c r="AQ84">
        <f t="shared" si="42"/>
        <v>31.84</v>
      </c>
      <c r="AR84">
        <f t="shared" si="43"/>
        <v>30.09</v>
      </c>
      <c r="AS84">
        <f t="shared" si="44"/>
        <v>24.29</v>
      </c>
      <c r="AT84" t="e">
        <f t="shared" si="45"/>
        <v>#N/A</v>
      </c>
      <c r="AU84">
        <f t="shared" si="46"/>
        <v>0.18</v>
      </c>
      <c r="AV84">
        <f t="shared" si="47"/>
        <v>0.12</v>
      </c>
      <c r="AW84">
        <f t="shared" si="48"/>
        <v>10.99</v>
      </c>
      <c r="AX84">
        <f t="shared" si="49"/>
        <v>16.420000000000002</v>
      </c>
      <c r="AY84">
        <f t="shared" si="50"/>
        <v>39.32</v>
      </c>
      <c r="AZ84" t="e">
        <f t="shared" si="51"/>
        <v>#N/A</v>
      </c>
    </row>
    <row r="85" spans="1:52" x14ac:dyDescent="0.3">
      <c r="A85" t="s">
        <v>81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1.83</v>
      </c>
      <c r="J85">
        <v>1.77</v>
      </c>
      <c r="K85">
        <v>1005.39</v>
      </c>
      <c r="L85">
        <v>726.81</v>
      </c>
      <c r="M85">
        <v>954.24</v>
      </c>
      <c r="N85">
        <v>1076.3800000000001</v>
      </c>
      <c r="O85">
        <f t="shared" si="28"/>
        <v>1.83</v>
      </c>
      <c r="P85">
        <f t="shared" si="29"/>
        <v>1.77</v>
      </c>
      <c r="Q85">
        <f t="shared" si="30"/>
        <v>1005.39</v>
      </c>
      <c r="R85">
        <f t="shared" si="31"/>
        <v>726.81</v>
      </c>
      <c r="S85">
        <f t="shared" si="32"/>
        <v>954.24</v>
      </c>
      <c r="T85">
        <f t="shared" si="33"/>
        <v>1076.3800000000001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2.8</v>
      </c>
      <c r="AC85">
        <v>1.72</v>
      </c>
      <c r="AD85">
        <v>492.14</v>
      </c>
      <c r="AE85">
        <v>705.49</v>
      </c>
      <c r="AF85">
        <v>2927.74</v>
      </c>
      <c r="AG85">
        <v>496</v>
      </c>
      <c r="AH85">
        <f t="shared" si="34"/>
        <v>2.8</v>
      </c>
      <c r="AI85">
        <f t="shared" si="35"/>
        <v>1.72</v>
      </c>
      <c r="AJ85">
        <f t="shared" si="36"/>
        <v>492.14</v>
      </c>
      <c r="AK85">
        <f t="shared" si="37"/>
        <v>705.49</v>
      </c>
      <c r="AL85">
        <f t="shared" si="38"/>
        <v>2927.74</v>
      </c>
      <c r="AM85">
        <f t="shared" si="39"/>
        <v>496</v>
      </c>
      <c r="AO85">
        <f t="shared" si="40"/>
        <v>1.83</v>
      </c>
      <c r="AP85">
        <f t="shared" si="41"/>
        <v>1.77</v>
      </c>
      <c r="AQ85">
        <f t="shared" si="42"/>
        <v>1005.39</v>
      </c>
      <c r="AR85">
        <f t="shared" si="43"/>
        <v>726.81</v>
      </c>
      <c r="AS85">
        <f t="shared" si="44"/>
        <v>954.24</v>
      </c>
      <c r="AT85">
        <f t="shared" si="45"/>
        <v>1076.3800000000001</v>
      </c>
      <c r="AU85">
        <f t="shared" si="46"/>
        <v>2.8</v>
      </c>
      <c r="AV85">
        <f t="shared" si="47"/>
        <v>1.72</v>
      </c>
      <c r="AW85">
        <f t="shared" si="48"/>
        <v>492.14</v>
      </c>
      <c r="AX85">
        <f t="shared" si="49"/>
        <v>705.49</v>
      </c>
      <c r="AY85">
        <f t="shared" si="50"/>
        <v>2927.74</v>
      </c>
      <c r="AZ85">
        <f t="shared" si="51"/>
        <v>496</v>
      </c>
    </row>
    <row r="86" spans="1:52" x14ac:dyDescent="0.3">
      <c r="A86" t="s">
        <v>82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14.97</v>
      </c>
      <c r="J86">
        <v>5.84</v>
      </c>
      <c r="K86">
        <v>8934.58</v>
      </c>
      <c r="L86">
        <v>7550.91</v>
      </c>
      <c r="M86">
        <v>6798</v>
      </c>
      <c r="N86">
        <v>5801.11</v>
      </c>
      <c r="O86">
        <f t="shared" si="28"/>
        <v>14.97</v>
      </c>
      <c r="P86">
        <f t="shared" si="29"/>
        <v>5.84</v>
      </c>
      <c r="Q86">
        <f t="shared" si="30"/>
        <v>8934.58</v>
      </c>
      <c r="R86">
        <f t="shared" si="31"/>
        <v>7550.91</v>
      </c>
      <c r="S86">
        <f t="shared" si="32"/>
        <v>6798</v>
      </c>
      <c r="T86">
        <f t="shared" si="33"/>
        <v>5801.11</v>
      </c>
      <c r="V86">
        <v>1</v>
      </c>
      <c r="W86">
        <v>1</v>
      </c>
      <c r="X86">
        <v>1</v>
      </c>
      <c r="Y86">
        <v>1</v>
      </c>
      <c r="Z86">
        <v>-1</v>
      </c>
      <c r="AA86">
        <v>1</v>
      </c>
      <c r="AB86">
        <v>16.22</v>
      </c>
      <c r="AC86">
        <v>6.7</v>
      </c>
      <c r="AD86">
        <v>11498.62</v>
      </c>
      <c r="AE86">
        <v>7628.66</v>
      </c>
      <c r="AF86">
        <v>15813.06</v>
      </c>
      <c r="AG86">
        <v>8928.52</v>
      </c>
      <c r="AH86">
        <f t="shared" si="34"/>
        <v>16.22</v>
      </c>
      <c r="AI86">
        <f t="shared" si="35"/>
        <v>6.7</v>
      </c>
      <c r="AJ86">
        <f t="shared" si="36"/>
        <v>11498.62</v>
      </c>
      <c r="AK86">
        <f t="shared" si="37"/>
        <v>7628.66</v>
      </c>
      <c r="AL86" t="e">
        <f t="shared" si="38"/>
        <v>#N/A</v>
      </c>
      <c r="AM86">
        <f t="shared" si="39"/>
        <v>8928.52</v>
      </c>
      <c r="AO86">
        <f t="shared" si="40"/>
        <v>14.97</v>
      </c>
      <c r="AP86">
        <f t="shared" si="41"/>
        <v>5.84</v>
      </c>
      <c r="AQ86">
        <f t="shared" si="42"/>
        <v>8934.58</v>
      </c>
      <c r="AR86">
        <f t="shared" si="43"/>
        <v>7550.91</v>
      </c>
      <c r="AS86" t="e">
        <f t="shared" si="44"/>
        <v>#N/A</v>
      </c>
      <c r="AT86">
        <f t="shared" si="45"/>
        <v>5801.11</v>
      </c>
      <c r="AU86">
        <f t="shared" si="46"/>
        <v>16.22</v>
      </c>
      <c r="AV86">
        <f t="shared" si="47"/>
        <v>6.7</v>
      </c>
      <c r="AW86">
        <f t="shared" si="48"/>
        <v>11498.62</v>
      </c>
      <c r="AX86">
        <f t="shared" si="49"/>
        <v>7628.66</v>
      </c>
      <c r="AY86" t="e">
        <f t="shared" si="50"/>
        <v>#N/A</v>
      </c>
      <c r="AZ86">
        <f t="shared" si="51"/>
        <v>8928.52</v>
      </c>
    </row>
    <row r="87" spans="1:52" x14ac:dyDescent="0.3">
      <c r="A87" t="s">
        <v>83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1.1000000000000001</v>
      </c>
      <c r="J87">
        <v>0.74</v>
      </c>
      <c r="K87">
        <v>122.05</v>
      </c>
      <c r="L87">
        <v>74.5</v>
      </c>
      <c r="M87">
        <v>88.32</v>
      </c>
      <c r="N87">
        <v>57.54</v>
      </c>
      <c r="O87">
        <f t="shared" si="28"/>
        <v>1.1000000000000001</v>
      </c>
      <c r="P87">
        <f t="shared" si="29"/>
        <v>0.74</v>
      </c>
      <c r="Q87">
        <f t="shared" si="30"/>
        <v>122.05</v>
      </c>
      <c r="R87">
        <f t="shared" si="31"/>
        <v>74.5</v>
      </c>
      <c r="S87">
        <f t="shared" si="32"/>
        <v>88.32</v>
      </c>
      <c r="T87">
        <f t="shared" si="33"/>
        <v>57.54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0.55000000000000004</v>
      </c>
      <c r="AC87">
        <v>0.54</v>
      </c>
      <c r="AD87">
        <v>39.29</v>
      </c>
      <c r="AE87">
        <v>71.819999999999993</v>
      </c>
      <c r="AF87">
        <v>109.8</v>
      </c>
      <c r="AG87">
        <v>44.12</v>
      </c>
      <c r="AH87">
        <f t="shared" si="34"/>
        <v>0.55000000000000004</v>
      </c>
      <c r="AI87">
        <f t="shared" si="35"/>
        <v>0.54</v>
      </c>
      <c r="AJ87">
        <f t="shared" si="36"/>
        <v>39.29</v>
      </c>
      <c r="AK87">
        <f t="shared" si="37"/>
        <v>71.819999999999993</v>
      </c>
      <c r="AL87">
        <f t="shared" si="38"/>
        <v>109.8</v>
      </c>
      <c r="AM87">
        <f t="shared" si="39"/>
        <v>44.12</v>
      </c>
      <c r="AO87">
        <f t="shared" si="40"/>
        <v>1.1000000000000001</v>
      </c>
      <c r="AP87">
        <f t="shared" si="41"/>
        <v>0.74</v>
      </c>
      <c r="AQ87">
        <f t="shared" si="42"/>
        <v>122.05</v>
      </c>
      <c r="AR87">
        <f t="shared" si="43"/>
        <v>74.5</v>
      </c>
      <c r="AS87">
        <f t="shared" si="44"/>
        <v>88.32</v>
      </c>
      <c r="AT87">
        <f t="shared" si="45"/>
        <v>57.54</v>
      </c>
      <c r="AU87">
        <f t="shared" si="46"/>
        <v>0.55000000000000004</v>
      </c>
      <c r="AV87">
        <f t="shared" si="47"/>
        <v>0.54</v>
      </c>
      <c r="AW87">
        <f t="shared" si="48"/>
        <v>39.29</v>
      </c>
      <c r="AX87">
        <f t="shared" si="49"/>
        <v>71.819999999999993</v>
      </c>
      <c r="AY87">
        <f t="shared" si="50"/>
        <v>109.8</v>
      </c>
      <c r="AZ87">
        <f t="shared" si="51"/>
        <v>44.12</v>
      </c>
    </row>
    <row r="88" spans="1:52" x14ac:dyDescent="0.3">
      <c r="A88" t="s">
        <v>84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3.21</v>
      </c>
      <c r="J88">
        <v>7.24</v>
      </c>
      <c r="K88">
        <v>1948.79</v>
      </c>
      <c r="L88">
        <v>1671.27</v>
      </c>
      <c r="M88">
        <v>1964.94</v>
      </c>
      <c r="N88">
        <v>2140.9899999999998</v>
      </c>
      <c r="O88">
        <f t="shared" si="28"/>
        <v>3.21</v>
      </c>
      <c r="P88">
        <f t="shared" si="29"/>
        <v>7.24</v>
      </c>
      <c r="Q88">
        <f t="shared" si="30"/>
        <v>1948.79</v>
      </c>
      <c r="R88">
        <f t="shared" si="31"/>
        <v>1671.27</v>
      </c>
      <c r="S88">
        <f t="shared" si="32"/>
        <v>1964.94</v>
      </c>
      <c r="T88">
        <f t="shared" si="33"/>
        <v>2140.9899999999998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6.14</v>
      </c>
      <c r="AC88">
        <v>4.22</v>
      </c>
      <c r="AD88">
        <v>4213.92</v>
      </c>
      <c r="AE88">
        <v>2615.6999999999998</v>
      </c>
      <c r="AF88">
        <v>6772.17</v>
      </c>
      <c r="AG88">
        <v>5065.08</v>
      </c>
      <c r="AH88">
        <f t="shared" si="34"/>
        <v>6.14</v>
      </c>
      <c r="AI88">
        <f t="shared" si="35"/>
        <v>4.22</v>
      </c>
      <c r="AJ88">
        <f t="shared" si="36"/>
        <v>4213.92</v>
      </c>
      <c r="AK88">
        <f t="shared" si="37"/>
        <v>2615.6999999999998</v>
      </c>
      <c r="AL88">
        <f t="shared" si="38"/>
        <v>6772.17</v>
      </c>
      <c r="AM88">
        <f t="shared" si="39"/>
        <v>5065.08</v>
      </c>
      <c r="AO88">
        <f t="shared" si="40"/>
        <v>3.21</v>
      </c>
      <c r="AP88">
        <f t="shared" si="41"/>
        <v>7.24</v>
      </c>
      <c r="AQ88">
        <f t="shared" si="42"/>
        <v>1948.79</v>
      </c>
      <c r="AR88">
        <f t="shared" si="43"/>
        <v>1671.27</v>
      </c>
      <c r="AS88">
        <f t="shared" si="44"/>
        <v>1964.94</v>
      </c>
      <c r="AT88">
        <f t="shared" si="45"/>
        <v>2140.9899999999998</v>
      </c>
      <c r="AU88">
        <f t="shared" si="46"/>
        <v>6.14</v>
      </c>
      <c r="AV88">
        <f t="shared" si="47"/>
        <v>4.22</v>
      </c>
      <c r="AW88">
        <f t="shared" si="48"/>
        <v>4213.92</v>
      </c>
      <c r="AX88">
        <f t="shared" si="49"/>
        <v>2615.6999999999998</v>
      </c>
      <c r="AY88">
        <f t="shared" si="50"/>
        <v>6772.17</v>
      </c>
      <c r="AZ88">
        <f t="shared" si="51"/>
        <v>5065.08</v>
      </c>
    </row>
    <row r="89" spans="1:52" x14ac:dyDescent="0.3">
      <c r="A89" t="s">
        <v>85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36.909999999999997</v>
      </c>
      <c r="J89">
        <v>23.09</v>
      </c>
      <c r="K89">
        <v>36000</v>
      </c>
      <c r="L89">
        <v>36000</v>
      </c>
      <c r="M89">
        <v>36000</v>
      </c>
      <c r="N89">
        <v>36000</v>
      </c>
      <c r="O89">
        <f t="shared" si="28"/>
        <v>36.909999999999997</v>
      </c>
      <c r="P89">
        <f t="shared" si="29"/>
        <v>23.09</v>
      </c>
      <c r="Q89">
        <f t="shared" si="30"/>
        <v>36000</v>
      </c>
      <c r="R89">
        <f t="shared" si="31"/>
        <v>36000</v>
      </c>
      <c r="S89">
        <f t="shared" si="32"/>
        <v>36000</v>
      </c>
      <c r="T89">
        <f t="shared" si="33"/>
        <v>36000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54.43</v>
      </c>
      <c r="AC89">
        <v>26.1</v>
      </c>
      <c r="AD89">
        <v>36000</v>
      </c>
      <c r="AE89">
        <v>36000</v>
      </c>
      <c r="AF89">
        <v>36000</v>
      </c>
      <c r="AG89">
        <v>36000</v>
      </c>
      <c r="AH89">
        <f t="shared" si="34"/>
        <v>54.43</v>
      </c>
      <c r="AI89">
        <f t="shared" si="35"/>
        <v>26.1</v>
      </c>
      <c r="AJ89">
        <f t="shared" si="36"/>
        <v>36000</v>
      </c>
      <c r="AK89">
        <f t="shared" si="37"/>
        <v>36000</v>
      </c>
      <c r="AL89">
        <f t="shared" si="38"/>
        <v>36000</v>
      </c>
      <c r="AM89">
        <f t="shared" si="39"/>
        <v>36000</v>
      </c>
      <c r="AO89">
        <f t="shared" si="40"/>
        <v>36.909999999999997</v>
      </c>
      <c r="AP89">
        <f t="shared" si="41"/>
        <v>23.09</v>
      </c>
      <c r="AQ89" t="e">
        <f t="shared" si="42"/>
        <v>#N/A</v>
      </c>
      <c r="AR89" t="e">
        <f t="shared" si="43"/>
        <v>#N/A</v>
      </c>
      <c r="AS89" t="e">
        <f t="shared" si="44"/>
        <v>#N/A</v>
      </c>
      <c r="AT89" t="e">
        <f t="shared" si="45"/>
        <v>#N/A</v>
      </c>
      <c r="AU89">
        <f t="shared" si="46"/>
        <v>54.43</v>
      </c>
      <c r="AV89">
        <f t="shared" si="47"/>
        <v>26.1</v>
      </c>
      <c r="AW89" t="e">
        <f t="shared" si="48"/>
        <v>#N/A</v>
      </c>
      <c r="AX89" t="e">
        <f t="shared" si="49"/>
        <v>#N/A</v>
      </c>
      <c r="AY89" t="e">
        <f t="shared" si="50"/>
        <v>#N/A</v>
      </c>
      <c r="AZ89" t="e">
        <f t="shared" si="51"/>
        <v>#N/A</v>
      </c>
    </row>
    <row r="90" spans="1:52" x14ac:dyDescent="0.3">
      <c r="A90" t="s">
        <v>86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0.46</v>
      </c>
      <c r="J90">
        <v>0.77</v>
      </c>
      <c r="K90">
        <v>54.81</v>
      </c>
      <c r="L90">
        <v>53.27</v>
      </c>
      <c r="M90">
        <v>68.41</v>
      </c>
      <c r="N90">
        <v>69.349999999999994</v>
      </c>
      <c r="O90">
        <f t="shared" si="28"/>
        <v>0.46</v>
      </c>
      <c r="P90">
        <f t="shared" si="29"/>
        <v>0.77</v>
      </c>
      <c r="Q90">
        <f t="shared" si="30"/>
        <v>54.81</v>
      </c>
      <c r="R90">
        <f t="shared" si="31"/>
        <v>53.27</v>
      </c>
      <c r="S90">
        <f t="shared" si="32"/>
        <v>68.41</v>
      </c>
      <c r="T90">
        <f t="shared" si="33"/>
        <v>69.349999999999994</v>
      </c>
      <c r="V90">
        <v>1</v>
      </c>
      <c r="W90">
        <v>1</v>
      </c>
      <c r="X90">
        <v>1</v>
      </c>
      <c r="Y90">
        <v>1</v>
      </c>
      <c r="Z90">
        <v>-1</v>
      </c>
      <c r="AA90">
        <v>1</v>
      </c>
      <c r="AB90">
        <v>0.71</v>
      </c>
      <c r="AC90">
        <v>0.69</v>
      </c>
      <c r="AD90">
        <v>181.88</v>
      </c>
      <c r="AE90">
        <v>162.66</v>
      </c>
      <c r="AF90">
        <v>332.75</v>
      </c>
      <c r="AG90">
        <v>185.2</v>
      </c>
      <c r="AH90">
        <f t="shared" si="34"/>
        <v>0.71</v>
      </c>
      <c r="AI90">
        <f t="shared" si="35"/>
        <v>0.69</v>
      </c>
      <c r="AJ90">
        <f t="shared" si="36"/>
        <v>181.88</v>
      </c>
      <c r="AK90">
        <f t="shared" si="37"/>
        <v>162.66</v>
      </c>
      <c r="AL90" t="e">
        <f t="shared" si="38"/>
        <v>#N/A</v>
      </c>
      <c r="AM90">
        <f t="shared" si="39"/>
        <v>185.2</v>
      </c>
      <c r="AO90">
        <f t="shared" si="40"/>
        <v>0.46</v>
      </c>
      <c r="AP90">
        <f t="shared" si="41"/>
        <v>0.77</v>
      </c>
      <c r="AQ90">
        <f t="shared" si="42"/>
        <v>54.81</v>
      </c>
      <c r="AR90">
        <f t="shared" si="43"/>
        <v>53.27</v>
      </c>
      <c r="AS90" t="e">
        <f t="shared" si="44"/>
        <v>#N/A</v>
      </c>
      <c r="AT90">
        <f t="shared" si="45"/>
        <v>69.349999999999994</v>
      </c>
      <c r="AU90">
        <f t="shared" si="46"/>
        <v>0.71</v>
      </c>
      <c r="AV90">
        <f t="shared" si="47"/>
        <v>0.69</v>
      </c>
      <c r="AW90">
        <f t="shared" si="48"/>
        <v>181.88</v>
      </c>
      <c r="AX90">
        <f t="shared" si="49"/>
        <v>162.66</v>
      </c>
      <c r="AY90" t="e">
        <f t="shared" si="50"/>
        <v>#N/A</v>
      </c>
      <c r="AZ90">
        <f t="shared" si="51"/>
        <v>185.2</v>
      </c>
    </row>
    <row r="91" spans="1:52" x14ac:dyDescent="0.3">
      <c r="A91" t="s">
        <v>87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1.34</v>
      </c>
      <c r="J91">
        <v>1.46</v>
      </c>
      <c r="K91">
        <v>97.31</v>
      </c>
      <c r="L91">
        <v>63.63</v>
      </c>
      <c r="M91">
        <v>123.48</v>
      </c>
      <c r="N91">
        <v>90.8</v>
      </c>
      <c r="O91">
        <f t="shared" si="28"/>
        <v>1.34</v>
      </c>
      <c r="P91">
        <f t="shared" si="29"/>
        <v>1.46</v>
      </c>
      <c r="Q91">
        <f t="shared" si="30"/>
        <v>97.31</v>
      </c>
      <c r="R91">
        <f t="shared" si="31"/>
        <v>63.63</v>
      </c>
      <c r="S91">
        <f t="shared" si="32"/>
        <v>123.48</v>
      </c>
      <c r="T91">
        <f t="shared" si="33"/>
        <v>90.8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1.74</v>
      </c>
      <c r="AC91">
        <v>1.34</v>
      </c>
      <c r="AD91">
        <v>279.08999999999997</v>
      </c>
      <c r="AE91">
        <v>242.24</v>
      </c>
      <c r="AF91">
        <v>847.01</v>
      </c>
      <c r="AG91">
        <v>307.2</v>
      </c>
      <c r="AH91">
        <f t="shared" si="34"/>
        <v>1.74</v>
      </c>
      <c r="AI91">
        <f t="shared" si="35"/>
        <v>1.34</v>
      </c>
      <c r="AJ91">
        <f t="shared" si="36"/>
        <v>279.08999999999997</v>
      </c>
      <c r="AK91">
        <f t="shared" si="37"/>
        <v>242.24</v>
      </c>
      <c r="AL91">
        <f t="shared" si="38"/>
        <v>847.01</v>
      </c>
      <c r="AM91">
        <f t="shared" si="39"/>
        <v>307.2</v>
      </c>
      <c r="AO91">
        <f t="shared" si="40"/>
        <v>1.34</v>
      </c>
      <c r="AP91">
        <f t="shared" si="41"/>
        <v>1.46</v>
      </c>
      <c r="AQ91">
        <f t="shared" si="42"/>
        <v>97.31</v>
      </c>
      <c r="AR91">
        <f t="shared" si="43"/>
        <v>63.63</v>
      </c>
      <c r="AS91">
        <f t="shared" si="44"/>
        <v>123.48</v>
      </c>
      <c r="AT91">
        <f t="shared" si="45"/>
        <v>90.8</v>
      </c>
      <c r="AU91">
        <f t="shared" si="46"/>
        <v>1.74</v>
      </c>
      <c r="AV91">
        <f t="shared" si="47"/>
        <v>1.34</v>
      </c>
      <c r="AW91">
        <f t="shared" si="48"/>
        <v>279.08999999999997</v>
      </c>
      <c r="AX91">
        <f t="shared" si="49"/>
        <v>242.24</v>
      </c>
      <c r="AY91">
        <f t="shared" si="50"/>
        <v>847.01</v>
      </c>
      <c r="AZ91">
        <f t="shared" si="51"/>
        <v>307.2</v>
      </c>
    </row>
    <row r="92" spans="1:52" x14ac:dyDescent="0.3">
      <c r="A92" t="s">
        <v>88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5.32</v>
      </c>
      <c r="J92">
        <v>5.38</v>
      </c>
      <c r="K92">
        <v>98.2</v>
      </c>
      <c r="L92">
        <v>34.01</v>
      </c>
      <c r="M92">
        <v>89.33</v>
      </c>
      <c r="N92">
        <v>92.14</v>
      </c>
      <c r="O92">
        <f t="shared" si="28"/>
        <v>5.32</v>
      </c>
      <c r="P92">
        <f t="shared" si="29"/>
        <v>5.38</v>
      </c>
      <c r="Q92">
        <f t="shared" si="30"/>
        <v>98.2</v>
      </c>
      <c r="R92">
        <f t="shared" si="31"/>
        <v>34.01</v>
      </c>
      <c r="S92">
        <f t="shared" si="32"/>
        <v>89.33</v>
      </c>
      <c r="T92">
        <f t="shared" si="33"/>
        <v>92.14</v>
      </c>
      <c r="V92">
        <v>1</v>
      </c>
      <c r="W92">
        <v>1</v>
      </c>
      <c r="X92">
        <v>1</v>
      </c>
      <c r="Y92">
        <v>1</v>
      </c>
      <c r="Z92">
        <v>-1</v>
      </c>
      <c r="AA92">
        <v>-1</v>
      </c>
      <c r="AB92">
        <v>9.5399999999999991</v>
      </c>
      <c r="AC92">
        <v>10.41</v>
      </c>
      <c r="AD92">
        <v>239.05</v>
      </c>
      <c r="AE92">
        <v>207.3</v>
      </c>
      <c r="AF92">
        <v>367.46</v>
      </c>
      <c r="AG92">
        <v>237.62</v>
      </c>
      <c r="AH92">
        <f t="shared" si="34"/>
        <v>9.5399999999999991</v>
      </c>
      <c r="AI92">
        <f t="shared" si="35"/>
        <v>10.41</v>
      </c>
      <c r="AJ92">
        <f t="shared" si="36"/>
        <v>239.05</v>
      </c>
      <c r="AK92">
        <f t="shared" si="37"/>
        <v>207.3</v>
      </c>
      <c r="AL92" t="e">
        <f t="shared" si="38"/>
        <v>#N/A</v>
      </c>
      <c r="AM92" t="e">
        <f t="shared" si="39"/>
        <v>#N/A</v>
      </c>
      <c r="AO92">
        <f t="shared" si="40"/>
        <v>5.32</v>
      </c>
      <c r="AP92">
        <f t="shared" si="41"/>
        <v>5.38</v>
      </c>
      <c r="AQ92">
        <f t="shared" si="42"/>
        <v>98.2</v>
      </c>
      <c r="AR92">
        <f t="shared" si="43"/>
        <v>34.01</v>
      </c>
      <c r="AS92" t="e">
        <f t="shared" si="44"/>
        <v>#N/A</v>
      </c>
      <c r="AT92" t="e">
        <f t="shared" si="45"/>
        <v>#N/A</v>
      </c>
      <c r="AU92">
        <f t="shared" si="46"/>
        <v>9.5399999999999991</v>
      </c>
      <c r="AV92">
        <f t="shared" si="47"/>
        <v>10.41</v>
      </c>
      <c r="AW92">
        <f t="shared" si="48"/>
        <v>239.05</v>
      </c>
      <c r="AX92">
        <f t="shared" si="49"/>
        <v>207.3</v>
      </c>
      <c r="AY92" t="e">
        <f t="shared" si="50"/>
        <v>#N/A</v>
      </c>
      <c r="AZ92" t="e">
        <f t="shared" si="51"/>
        <v>#N/A</v>
      </c>
    </row>
    <row r="93" spans="1:52" x14ac:dyDescent="0.3">
      <c r="A93" t="s">
        <v>89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0.82</v>
      </c>
      <c r="J93">
        <v>0.89</v>
      </c>
      <c r="K93">
        <v>83.95</v>
      </c>
      <c r="L93">
        <v>37.17</v>
      </c>
      <c r="M93">
        <v>89.74</v>
      </c>
      <c r="N93">
        <v>95.87</v>
      </c>
      <c r="O93">
        <f t="shared" si="28"/>
        <v>0.82</v>
      </c>
      <c r="P93">
        <f t="shared" si="29"/>
        <v>0.89</v>
      </c>
      <c r="Q93">
        <f t="shared" si="30"/>
        <v>83.95</v>
      </c>
      <c r="R93">
        <f t="shared" si="31"/>
        <v>37.17</v>
      </c>
      <c r="S93">
        <f t="shared" si="32"/>
        <v>89.74</v>
      </c>
      <c r="T93">
        <f t="shared" si="33"/>
        <v>95.87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0.4</v>
      </c>
      <c r="AC93">
        <v>0.14000000000000001</v>
      </c>
      <c r="AD93">
        <v>30.63</v>
      </c>
      <c r="AE93">
        <v>57.66</v>
      </c>
      <c r="AF93">
        <v>125.21</v>
      </c>
      <c r="AG93">
        <v>25.06</v>
      </c>
      <c r="AH93">
        <f t="shared" si="34"/>
        <v>0.4</v>
      </c>
      <c r="AI93">
        <f t="shared" si="35"/>
        <v>0.14000000000000001</v>
      </c>
      <c r="AJ93">
        <f t="shared" si="36"/>
        <v>30.63</v>
      </c>
      <c r="AK93">
        <f t="shared" si="37"/>
        <v>57.66</v>
      </c>
      <c r="AL93">
        <f t="shared" si="38"/>
        <v>125.21</v>
      </c>
      <c r="AM93">
        <f t="shared" si="39"/>
        <v>25.06</v>
      </c>
      <c r="AO93">
        <f t="shared" si="40"/>
        <v>0.82</v>
      </c>
      <c r="AP93">
        <f t="shared" si="41"/>
        <v>0.89</v>
      </c>
      <c r="AQ93">
        <f t="shared" si="42"/>
        <v>83.95</v>
      </c>
      <c r="AR93">
        <f t="shared" si="43"/>
        <v>37.17</v>
      </c>
      <c r="AS93">
        <f t="shared" si="44"/>
        <v>89.74</v>
      </c>
      <c r="AT93">
        <f t="shared" si="45"/>
        <v>95.87</v>
      </c>
      <c r="AU93">
        <f t="shared" si="46"/>
        <v>0.4</v>
      </c>
      <c r="AV93">
        <f t="shared" si="47"/>
        <v>0.14000000000000001</v>
      </c>
      <c r="AW93">
        <f t="shared" si="48"/>
        <v>30.63</v>
      </c>
      <c r="AX93">
        <f t="shared" si="49"/>
        <v>57.66</v>
      </c>
      <c r="AY93">
        <f t="shared" si="50"/>
        <v>125.21</v>
      </c>
      <c r="AZ93">
        <f t="shared" si="51"/>
        <v>25.06</v>
      </c>
    </row>
    <row r="94" spans="1:52" x14ac:dyDescent="0.3">
      <c r="A94" t="s">
        <v>90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15.57</v>
      </c>
      <c r="J94">
        <v>5.81</v>
      </c>
      <c r="K94">
        <v>36000</v>
      </c>
      <c r="L94">
        <v>36000</v>
      </c>
      <c r="M94">
        <v>36000</v>
      </c>
      <c r="N94">
        <v>36000</v>
      </c>
      <c r="O94">
        <f t="shared" si="28"/>
        <v>15.57</v>
      </c>
      <c r="P94">
        <f t="shared" si="29"/>
        <v>5.81</v>
      </c>
      <c r="Q94">
        <f t="shared" si="30"/>
        <v>36000</v>
      </c>
      <c r="R94">
        <f t="shared" si="31"/>
        <v>36000</v>
      </c>
      <c r="S94">
        <f t="shared" si="32"/>
        <v>36000</v>
      </c>
      <c r="T94">
        <f t="shared" si="33"/>
        <v>36000</v>
      </c>
      <c r="V94">
        <v>1</v>
      </c>
      <c r="W94">
        <v>1</v>
      </c>
      <c r="X94">
        <v>0</v>
      </c>
      <c r="Y94">
        <v>1</v>
      </c>
      <c r="Z94">
        <v>0</v>
      </c>
      <c r="AA94">
        <v>0</v>
      </c>
      <c r="AB94">
        <v>10.56</v>
      </c>
      <c r="AC94">
        <v>4.5</v>
      </c>
      <c r="AD94">
        <v>36000</v>
      </c>
      <c r="AE94">
        <v>29125.16</v>
      </c>
      <c r="AF94">
        <v>36000</v>
      </c>
      <c r="AG94">
        <v>36000</v>
      </c>
      <c r="AH94">
        <f t="shared" si="34"/>
        <v>10.56</v>
      </c>
      <c r="AI94">
        <f t="shared" si="35"/>
        <v>4.5</v>
      </c>
      <c r="AJ94">
        <f t="shared" si="36"/>
        <v>36000</v>
      </c>
      <c r="AK94">
        <f t="shared" si="37"/>
        <v>29125.16</v>
      </c>
      <c r="AL94">
        <f t="shared" si="38"/>
        <v>36000</v>
      </c>
      <c r="AM94">
        <f t="shared" si="39"/>
        <v>36000</v>
      </c>
      <c r="AO94">
        <f t="shared" si="40"/>
        <v>15.57</v>
      </c>
      <c r="AP94">
        <f t="shared" si="41"/>
        <v>5.81</v>
      </c>
      <c r="AQ94" t="e">
        <f t="shared" si="42"/>
        <v>#N/A</v>
      </c>
      <c r="AR94">
        <f t="shared" si="43"/>
        <v>36000</v>
      </c>
      <c r="AS94" t="e">
        <f t="shared" si="44"/>
        <v>#N/A</v>
      </c>
      <c r="AT94" t="e">
        <f t="shared" si="45"/>
        <v>#N/A</v>
      </c>
      <c r="AU94">
        <f t="shared" si="46"/>
        <v>10.56</v>
      </c>
      <c r="AV94">
        <f t="shared" si="47"/>
        <v>4.5</v>
      </c>
      <c r="AW94" t="e">
        <f t="shared" si="48"/>
        <v>#N/A</v>
      </c>
      <c r="AX94">
        <f t="shared" si="49"/>
        <v>29125.16</v>
      </c>
      <c r="AY94" t="e">
        <f t="shared" si="50"/>
        <v>#N/A</v>
      </c>
      <c r="AZ94" t="e">
        <f t="shared" si="51"/>
        <v>#N/A</v>
      </c>
    </row>
    <row r="95" spans="1:52" x14ac:dyDescent="0.3">
      <c r="A95" t="s">
        <v>91</v>
      </c>
      <c r="C95">
        <v>1</v>
      </c>
      <c r="D95">
        <v>1</v>
      </c>
      <c r="E95">
        <v>0</v>
      </c>
      <c r="F95">
        <v>1</v>
      </c>
      <c r="G95">
        <v>0</v>
      </c>
      <c r="H95">
        <v>0</v>
      </c>
      <c r="I95">
        <v>12.14</v>
      </c>
      <c r="J95">
        <v>7.74</v>
      </c>
      <c r="K95">
        <v>36000</v>
      </c>
      <c r="L95">
        <v>21135.55</v>
      </c>
      <c r="M95">
        <v>36000</v>
      </c>
      <c r="N95">
        <v>36000</v>
      </c>
      <c r="O95">
        <f t="shared" si="28"/>
        <v>12.14</v>
      </c>
      <c r="P95">
        <f t="shared" si="29"/>
        <v>7.74</v>
      </c>
      <c r="Q95">
        <f t="shared" si="30"/>
        <v>36000</v>
      </c>
      <c r="R95">
        <f t="shared" si="31"/>
        <v>21135.55</v>
      </c>
      <c r="S95">
        <f t="shared" si="32"/>
        <v>36000</v>
      </c>
      <c r="T95">
        <f t="shared" si="33"/>
        <v>36000</v>
      </c>
      <c r="V95">
        <v>1</v>
      </c>
      <c r="W95">
        <v>1</v>
      </c>
      <c r="X95">
        <v>1</v>
      </c>
      <c r="Y95">
        <v>1</v>
      </c>
      <c r="Z95">
        <v>0</v>
      </c>
      <c r="AA95">
        <v>-1</v>
      </c>
      <c r="AB95">
        <v>10.98</v>
      </c>
      <c r="AC95">
        <v>11.33</v>
      </c>
      <c r="AD95">
        <v>16722.12</v>
      </c>
      <c r="AE95">
        <v>16961.259999999998</v>
      </c>
      <c r="AF95">
        <v>36000</v>
      </c>
      <c r="AG95">
        <v>24018.63</v>
      </c>
      <c r="AH95">
        <f t="shared" si="34"/>
        <v>10.98</v>
      </c>
      <c r="AI95">
        <f t="shared" si="35"/>
        <v>11.33</v>
      </c>
      <c r="AJ95">
        <f t="shared" si="36"/>
        <v>16722.12</v>
      </c>
      <c r="AK95">
        <f t="shared" si="37"/>
        <v>16961.259999999998</v>
      </c>
      <c r="AL95">
        <f t="shared" si="38"/>
        <v>36000</v>
      </c>
      <c r="AM95" t="e">
        <f t="shared" si="39"/>
        <v>#N/A</v>
      </c>
      <c r="AO95">
        <f t="shared" si="40"/>
        <v>12.14</v>
      </c>
      <c r="AP95">
        <f t="shared" si="41"/>
        <v>7.74</v>
      </c>
      <c r="AQ95">
        <f t="shared" si="42"/>
        <v>36000</v>
      </c>
      <c r="AR95">
        <f t="shared" si="43"/>
        <v>21135.55</v>
      </c>
      <c r="AS95" t="e">
        <f t="shared" si="44"/>
        <v>#N/A</v>
      </c>
      <c r="AT95" t="e">
        <f t="shared" si="45"/>
        <v>#N/A</v>
      </c>
      <c r="AU95">
        <f t="shared" si="46"/>
        <v>10.98</v>
      </c>
      <c r="AV95">
        <f t="shared" si="47"/>
        <v>11.33</v>
      </c>
      <c r="AW95">
        <f t="shared" si="48"/>
        <v>16722.12</v>
      </c>
      <c r="AX95">
        <f t="shared" si="49"/>
        <v>16961.259999999998</v>
      </c>
      <c r="AY95" t="e">
        <f t="shared" si="50"/>
        <v>#N/A</v>
      </c>
      <c r="AZ95" t="e">
        <f t="shared" si="51"/>
        <v>#N/A</v>
      </c>
    </row>
    <row r="96" spans="1:52" x14ac:dyDescent="0.3">
      <c r="A96" t="s">
        <v>92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2.42</v>
      </c>
      <c r="J96">
        <v>3.41</v>
      </c>
      <c r="K96">
        <v>4407.1099999999997</v>
      </c>
      <c r="L96">
        <v>3177.49</v>
      </c>
      <c r="M96">
        <v>2543.08</v>
      </c>
      <c r="N96">
        <v>7294.32</v>
      </c>
      <c r="O96">
        <f t="shared" si="28"/>
        <v>2.42</v>
      </c>
      <c r="P96">
        <f t="shared" si="29"/>
        <v>3.41</v>
      </c>
      <c r="Q96">
        <f t="shared" si="30"/>
        <v>4407.1099999999997</v>
      </c>
      <c r="R96">
        <f t="shared" si="31"/>
        <v>3177.49</v>
      </c>
      <c r="S96">
        <f t="shared" si="32"/>
        <v>2543.08</v>
      </c>
      <c r="T96">
        <f t="shared" si="33"/>
        <v>7294.32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3.75</v>
      </c>
      <c r="AC96">
        <v>5.85</v>
      </c>
      <c r="AD96">
        <v>12340.37</v>
      </c>
      <c r="AE96">
        <v>7659.82</v>
      </c>
      <c r="AF96">
        <v>12391.81</v>
      </c>
      <c r="AG96">
        <v>6537.56</v>
      </c>
      <c r="AH96">
        <f t="shared" si="34"/>
        <v>3.75</v>
      </c>
      <c r="AI96">
        <f t="shared" si="35"/>
        <v>5.85</v>
      </c>
      <c r="AJ96">
        <f t="shared" si="36"/>
        <v>12340.37</v>
      </c>
      <c r="AK96">
        <f t="shared" si="37"/>
        <v>7659.82</v>
      </c>
      <c r="AL96">
        <f t="shared" si="38"/>
        <v>12391.81</v>
      </c>
      <c r="AM96">
        <f t="shared" si="39"/>
        <v>6537.56</v>
      </c>
      <c r="AO96">
        <f t="shared" si="40"/>
        <v>2.42</v>
      </c>
      <c r="AP96">
        <f t="shared" si="41"/>
        <v>3.41</v>
      </c>
      <c r="AQ96">
        <f t="shared" si="42"/>
        <v>4407.1099999999997</v>
      </c>
      <c r="AR96">
        <f t="shared" si="43"/>
        <v>3177.49</v>
      </c>
      <c r="AS96">
        <f t="shared" si="44"/>
        <v>2543.08</v>
      </c>
      <c r="AT96">
        <f t="shared" si="45"/>
        <v>7294.32</v>
      </c>
      <c r="AU96">
        <f t="shared" si="46"/>
        <v>3.75</v>
      </c>
      <c r="AV96">
        <f t="shared" si="47"/>
        <v>5.85</v>
      </c>
      <c r="AW96">
        <f t="shared" si="48"/>
        <v>12340.37</v>
      </c>
      <c r="AX96">
        <f t="shared" si="49"/>
        <v>7659.82</v>
      </c>
      <c r="AY96">
        <f t="shared" si="50"/>
        <v>12391.81</v>
      </c>
      <c r="AZ96">
        <f t="shared" si="51"/>
        <v>6537.56</v>
      </c>
    </row>
    <row r="97" spans="1:52" x14ac:dyDescent="0.3">
      <c r="A97" t="s">
        <v>93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70.040000000000006</v>
      </c>
      <c r="J97">
        <v>79.599999999999994</v>
      </c>
      <c r="K97">
        <v>36000</v>
      </c>
      <c r="L97">
        <v>36000</v>
      </c>
      <c r="M97">
        <v>36000</v>
      </c>
      <c r="N97">
        <v>36000</v>
      </c>
      <c r="O97">
        <f t="shared" si="28"/>
        <v>70.040000000000006</v>
      </c>
      <c r="P97">
        <f t="shared" si="29"/>
        <v>79.599999999999994</v>
      </c>
      <c r="Q97">
        <f t="shared" si="30"/>
        <v>36000</v>
      </c>
      <c r="R97">
        <f t="shared" si="31"/>
        <v>36000</v>
      </c>
      <c r="S97">
        <f t="shared" si="32"/>
        <v>36000</v>
      </c>
      <c r="T97">
        <f t="shared" si="33"/>
        <v>36000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  <c r="AB97">
        <v>96.14</v>
      </c>
      <c r="AC97">
        <v>90.11</v>
      </c>
      <c r="AD97">
        <v>36000</v>
      </c>
      <c r="AE97">
        <v>36000</v>
      </c>
      <c r="AF97">
        <v>36000</v>
      </c>
      <c r="AG97">
        <v>36000</v>
      </c>
      <c r="AH97">
        <f t="shared" si="34"/>
        <v>96.14</v>
      </c>
      <c r="AI97">
        <f t="shared" si="35"/>
        <v>90.11</v>
      </c>
      <c r="AJ97">
        <f t="shared" si="36"/>
        <v>36000</v>
      </c>
      <c r="AK97">
        <f t="shared" si="37"/>
        <v>36000</v>
      </c>
      <c r="AL97">
        <f t="shared" si="38"/>
        <v>36000</v>
      </c>
      <c r="AM97">
        <f t="shared" si="39"/>
        <v>36000</v>
      </c>
      <c r="AO97">
        <f t="shared" si="40"/>
        <v>70.040000000000006</v>
      </c>
      <c r="AP97">
        <f t="shared" si="41"/>
        <v>79.599999999999994</v>
      </c>
      <c r="AQ97" t="e">
        <f t="shared" si="42"/>
        <v>#N/A</v>
      </c>
      <c r="AR97" t="e">
        <f t="shared" si="43"/>
        <v>#N/A</v>
      </c>
      <c r="AS97" t="e">
        <f t="shared" si="44"/>
        <v>#N/A</v>
      </c>
      <c r="AT97" t="e">
        <f t="shared" si="45"/>
        <v>#N/A</v>
      </c>
      <c r="AU97">
        <f t="shared" si="46"/>
        <v>96.14</v>
      </c>
      <c r="AV97">
        <f t="shared" si="47"/>
        <v>90.11</v>
      </c>
      <c r="AW97" t="e">
        <f t="shared" si="48"/>
        <v>#N/A</v>
      </c>
      <c r="AX97" t="e">
        <f t="shared" si="49"/>
        <v>#N/A</v>
      </c>
      <c r="AY97" t="e">
        <f t="shared" si="50"/>
        <v>#N/A</v>
      </c>
      <c r="AZ97" t="e">
        <f t="shared" si="51"/>
        <v>#N/A</v>
      </c>
    </row>
    <row r="98" spans="1:52" x14ac:dyDescent="0.3">
      <c r="A98" t="s">
        <v>94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285.01</v>
      </c>
      <c r="J98">
        <v>207.96</v>
      </c>
      <c r="K98">
        <v>36000</v>
      </c>
      <c r="L98">
        <v>36000</v>
      </c>
      <c r="M98">
        <v>36000</v>
      </c>
      <c r="N98">
        <v>36000</v>
      </c>
      <c r="O98">
        <f t="shared" si="28"/>
        <v>285.01</v>
      </c>
      <c r="P98">
        <f t="shared" si="29"/>
        <v>207.96</v>
      </c>
      <c r="Q98">
        <f t="shared" si="30"/>
        <v>36000</v>
      </c>
      <c r="R98">
        <f t="shared" si="31"/>
        <v>36000</v>
      </c>
      <c r="S98">
        <f t="shared" si="32"/>
        <v>36000</v>
      </c>
      <c r="T98">
        <f t="shared" si="33"/>
        <v>36000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324.29000000000002</v>
      </c>
      <c r="AC98">
        <v>219.49</v>
      </c>
      <c r="AD98">
        <v>36000</v>
      </c>
      <c r="AE98">
        <v>36000</v>
      </c>
      <c r="AF98">
        <v>36000</v>
      </c>
      <c r="AG98">
        <v>36000</v>
      </c>
      <c r="AH98">
        <f t="shared" si="34"/>
        <v>324.29000000000002</v>
      </c>
      <c r="AI98">
        <f t="shared" si="35"/>
        <v>219.49</v>
      </c>
      <c r="AJ98">
        <f t="shared" si="36"/>
        <v>36000</v>
      </c>
      <c r="AK98">
        <f t="shared" si="37"/>
        <v>36000</v>
      </c>
      <c r="AL98">
        <f t="shared" si="38"/>
        <v>36000</v>
      </c>
      <c r="AM98">
        <f t="shared" si="39"/>
        <v>36000</v>
      </c>
      <c r="AO98">
        <f t="shared" si="40"/>
        <v>285.01</v>
      </c>
      <c r="AP98">
        <f t="shared" si="41"/>
        <v>207.96</v>
      </c>
      <c r="AQ98" t="e">
        <f t="shared" si="42"/>
        <v>#N/A</v>
      </c>
      <c r="AR98" t="e">
        <f t="shared" si="43"/>
        <v>#N/A</v>
      </c>
      <c r="AS98" t="e">
        <f t="shared" si="44"/>
        <v>#N/A</v>
      </c>
      <c r="AT98" t="e">
        <f t="shared" si="45"/>
        <v>#N/A</v>
      </c>
      <c r="AU98">
        <f t="shared" si="46"/>
        <v>324.29000000000002</v>
      </c>
      <c r="AV98">
        <f t="shared" si="47"/>
        <v>219.49</v>
      </c>
      <c r="AW98" t="e">
        <f t="shared" si="48"/>
        <v>#N/A</v>
      </c>
      <c r="AX98" t="e">
        <f t="shared" si="49"/>
        <v>#N/A</v>
      </c>
      <c r="AY98" t="e">
        <f t="shared" si="50"/>
        <v>#N/A</v>
      </c>
      <c r="AZ98" t="e">
        <f t="shared" si="51"/>
        <v>#N/A</v>
      </c>
    </row>
    <row r="99" spans="1:52" x14ac:dyDescent="0.3">
      <c r="A99" t="s">
        <v>95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4.42</v>
      </c>
      <c r="J99">
        <v>5.86</v>
      </c>
      <c r="K99">
        <v>573.02</v>
      </c>
      <c r="L99">
        <v>547.78</v>
      </c>
      <c r="M99">
        <v>849.5</v>
      </c>
      <c r="N99">
        <v>582.9</v>
      </c>
      <c r="O99">
        <f t="shared" si="28"/>
        <v>4.42</v>
      </c>
      <c r="P99">
        <f t="shared" si="29"/>
        <v>5.86</v>
      </c>
      <c r="Q99">
        <f t="shared" si="30"/>
        <v>573.02</v>
      </c>
      <c r="R99">
        <f t="shared" si="31"/>
        <v>547.78</v>
      </c>
      <c r="S99">
        <f t="shared" si="32"/>
        <v>849.5</v>
      </c>
      <c r="T99">
        <f t="shared" si="33"/>
        <v>582.9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5.9</v>
      </c>
      <c r="AC99">
        <v>6.76</v>
      </c>
      <c r="AD99">
        <v>1700.61</v>
      </c>
      <c r="AE99">
        <v>1490.43</v>
      </c>
      <c r="AF99">
        <v>2984.68</v>
      </c>
      <c r="AG99">
        <v>1776.46</v>
      </c>
      <c r="AH99">
        <f t="shared" si="34"/>
        <v>5.9</v>
      </c>
      <c r="AI99">
        <f t="shared" si="35"/>
        <v>6.76</v>
      </c>
      <c r="AJ99">
        <f t="shared" si="36"/>
        <v>1700.61</v>
      </c>
      <c r="AK99">
        <f t="shared" si="37"/>
        <v>1490.43</v>
      </c>
      <c r="AL99">
        <f t="shared" si="38"/>
        <v>2984.68</v>
      </c>
      <c r="AM99">
        <f t="shared" si="39"/>
        <v>1776.46</v>
      </c>
      <c r="AO99">
        <f t="shared" si="40"/>
        <v>4.42</v>
      </c>
      <c r="AP99">
        <f t="shared" si="41"/>
        <v>5.86</v>
      </c>
      <c r="AQ99">
        <f t="shared" si="42"/>
        <v>573.02</v>
      </c>
      <c r="AR99">
        <f t="shared" si="43"/>
        <v>547.78</v>
      </c>
      <c r="AS99">
        <f t="shared" si="44"/>
        <v>849.5</v>
      </c>
      <c r="AT99">
        <f t="shared" si="45"/>
        <v>582.9</v>
      </c>
      <c r="AU99">
        <f t="shared" si="46"/>
        <v>5.9</v>
      </c>
      <c r="AV99">
        <f t="shared" si="47"/>
        <v>6.76</v>
      </c>
      <c r="AW99">
        <f t="shared" si="48"/>
        <v>1700.61</v>
      </c>
      <c r="AX99">
        <f t="shared" si="49"/>
        <v>1490.43</v>
      </c>
      <c r="AY99">
        <f t="shared" si="50"/>
        <v>2984.68</v>
      </c>
      <c r="AZ99">
        <f t="shared" si="51"/>
        <v>1776.46</v>
      </c>
    </row>
    <row r="100" spans="1:52" x14ac:dyDescent="0.3">
      <c r="A100" t="s">
        <v>96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7.43</v>
      </c>
      <c r="J100">
        <v>8.48</v>
      </c>
      <c r="K100">
        <v>1619.29</v>
      </c>
      <c r="L100">
        <v>901.86</v>
      </c>
      <c r="M100">
        <v>1205.78</v>
      </c>
      <c r="N100">
        <v>1163.27</v>
      </c>
      <c r="O100">
        <f t="shared" si="28"/>
        <v>7.43</v>
      </c>
      <c r="P100">
        <f t="shared" si="29"/>
        <v>8.48</v>
      </c>
      <c r="Q100">
        <f t="shared" si="30"/>
        <v>1619.29</v>
      </c>
      <c r="R100">
        <f t="shared" si="31"/>
        <v>901.86</v>
      </c>
      <c r="S100">
        <f t="shared" si="32"/>
        <v>1205.78</v>
      </c>
      <c r="T100">
        <f t="shared" si="33"/>
        <v>1163.27</v>
      </c>
      <c r="V100">
        <v>1</v>
      </c>
      <c r="W100">
        <v>1</v>
      </c>
      <c r="X100">
        <v>1</v>
      </c>
      <c r="Y100">
        <v>1</v>
      </c>
      <c r="Z100">
        <v>-1</v>
      </c>
      <c r="AA100">
        <v>-1</v>
      </c>
      <c r="AB100">
        <v>14.88</v>
      </c>
      <c r="AC100">
        <v>13.33</v>
      </c>
      <c r="AD100">
        <v>3191.21</v>
      </c>
      <c r="AE100">
        <v>2721.52</v>
      </c>
      <c r="AF100">
        <v>5752.61</v>
      </c>
      <c r="AG100">
        <v>4038.05</v>
      </c>
      <c r="AH100">
        <f t="shared" si="34"/>
        <v>14.88</v>
      </c>
      <c r="AI100">
        <f t="shared" si="35"/>
        <v>13.33</v>
      </c>
      <c r="AJ100">
        <f t="shared" si="36"/>
        <v>3191.21</v>
      </c>
      <c r="AK100">
        <f t="shared" si="37"/>
        <v>2721.52</v>
      </c>
      <c r="AL100" t="e">
        <f t="shared" si="38"/>
        <v>#N/A</v>
      </c>
      <c r="AM100" t="e">
        <f t="shared" si="39"/>
        <v>#N/A</v>
      </c>
      <c r="AO100">
        <f t="shared" si="40"/>
        <v>7.43</v>
      </c>
      <c r="AP100">
        <f t="shared" si="41"/>
        <v>8.48</v>
      </c>
      <c r="AQ100">
        <f t="shared" si="42"/>
        <v>1619.29</v>
      </c>
      <c r="AR100">
        <f t="shared" si="43"/>
        <v>901.86</v>
      </c>
      <c r="AS100" t="e">
        <f t="shared" si="44"/>
        <v>#N/A</v>
      </c>
      <c r="AT100" t="e">
        <f t="shared" si="45"/>
        <v>#N/A</v>
      </c>
      <c r="AU100">
        <f t="shared" si="46"/>
        <v>14.88</v>
      </c>
      <c r="AV100">
        <f t="shared" si="47"/>
        <v>13.33</v>
      </c>
      <c r="AW100">
        <f t="shared" si="48"/>
        <v>3191.21</v>
      </c>
      <c r="AX100">
        <f t="shared" si="49"/>
        <v>2721.52</v>
      </c>
      <c r="AY100" t="e">
        <f t="shared" si="50"/>
        <v>#N/A</v>
      </c>
      <c r="AZ100" t="e">
        <f t="shared" si="51"/>
        <v>#N/A</v>
      </c>
    </row>
    <row r="101" spans="1:52" x14ac:dyDescent="0.3">
      <c r="A101" t="s">
        <v>97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11.14</v>
      </c>
      <c r="J101">
        <v>9.99</v>
      </c>
      <c r="K101">
        <v>288.14999999999998</v>
      </c>
      <c r="L101">
        <v>193.57</v>
      </c>
      <c r="M101">
        <v>342.81</v>
      </c>
      <c r="N101">
        <v>308.61</v>
      </c>
      <c r="O101">
        <f t="shared" si="28"/>
        <v>11.14</v>
      </c>
      <c r="P101">
        <f t="shared" si="29"/>
        <v>9.99</v>
      </c>
      <c r="Q101">
        <f t="shared" si="30"/>
        <v>288.14999999999998</v>
      </c>
      <c r="R101">
        <f t="shared" si="31"/>
        <v>193.57</v>
      </c>
      <c r="S101">
        <f t="shared" si="32"/>
        <v>342.81</v>
      </c>
      <c r="T101">
        <f t="shared" si="33"/>
        <v>308.61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-1</v>
      </c>
      <c r="AB101">
        <v>13.08</v>
      </c>
      <c r="AC101">
        <v>14.68</v>
      </c>
      <c r="AD101">
        <v>1176.4000000000001</v>
      </c>
      <c r="AE101">
        <v>788.73</v>
      </c>
      <c r="AF101">
        <v>1763.4</v>
      </c>
      <c r="AG101">
        <v>1294.76</v>
      </c>
      <c r="AH101">
        <f t="shared" si="34"/>
        <v>13.08</v>
      </c>
      <c r="AI101">
        <f t="shared" si="35"/>
        <v>14.68</v>
      </c>
      <c r="AJ101">
        <f t="shared" si="36"/>
        <v>1176.4000000000001</v>
      </c>
      <c r="AK101">
        <f t="shared" si="37"/>
        <v>788.73</v>
      </c>
      <c r="AL101">
        <f t="shared" si="38"/>
        <v>1763.4</v>
      </c>
      <c r="AM101" t="e">
        <f t="shared" si="39"/>
        <v>#N/A</v>
      </c>
      <c r="AO101">
        <f t="shared" si="40"/>
        <v>11.14</v>
      </c>
      <c r="AP101">
        <f t="shared" si="41"/>
        <v>9.99</v>
      </c>
      <c r="AQ101">
        <f t="shared" si="42"/>
        <v>288.14999999999998</v>
      </c>
      <c r="AR101">
        <f t="shared" si="43"/>
        <v>193.57</v>
      </c>
      <c r="AS101">
        <f t="shared" si="44"/>
        <v>342.81</v>
      </c>
      <c r="AT101" t="e">
        <f t="shared" si="45"/>
        <v>#N/A</v>
      </c>
      <c r="AU101">
        <f t="shared" si="46"/>
        <v>13.08</v>
      </c>
      <c r="AV101">
        <f t="shared" si="47"/>
        <v>14.68</v>
      </c>
      <c r="AW101">
        <f t="shared" si="48"/>
        <v>1176.4000000000001</v>
      </c>
      <c r="AX101">
        <f t="shared" si="49"/>
        <v>788.73</v>
      </c>
      <c r="AY101">
        <f t="shared" si="50"/>
        <v>1763.4</v>
      </c>
      <c r="AZ101" t="e">
        <f t="shared" si="51"/>
        <v>#N/A</v>
      </c>
    </row>
    <row r="102" spans="1:52" x14ac:dyDescent="0.3">
      <c r="A102" t="s">
        <v>98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6.45</v>
      </c>
      <c r="J102">
        <v>5.59</v>
      </c>
      <c r="K102">
        <v>36000</v>
      </c>
      <c r="L102">
        <v>36000</v>
      </c>
      <c r="M102">
        <v>36000</v>
      </c>
      <c r="N102">
        <v>36000</v>
      </c>
      <c r="O102">
        <f t="shared" si="28"/>
        <v>6.45</v>
      </c>
      <c r="P102">
        <f t="shared" si="29"/>
        <v>5.59</v>
      </c>
      <c r="Q102">
        <f t="shared" si="30"/>
        <v>36000</v>
      </c>
      <c r="R102">
        <f t="shared" si="31"/>
        <v>36000</v>
      </c>
      <c r="S102">
        <f t="shared" si="32"/>
        <v>36000</v>
      </c>
      <c r="T102">
        <f t="shared" si="33"/>
        <v>36000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7.72</v>
      </c>
      <c r="AC102">
        <v>5.92</v>
      </c>
      <c r="AD102">
        <v>36000</v>
      </c>
      <c r="AE102">
        <v>36000</v>
      </c>
      <c r="AF102">
        <v>36000</v>
      </c>
      <c r="AG102">
        <v>36000</v>
      </c>
      <c r="AH102">
        <f t="shared" si="34"/>
        <v>7.72</v>
      </c>
      <c r="AI102">
        <f t="shared" si="35"/>
        <v>5.92</v>
      </c>
      <c r="AJ102">
        <f t="shared" si="36"/>
        <v>36000</v>
      </c>
      <c r="AK102">
        <f t="shared" si="37"/>
        <v>36000</v>
      </c>
      <c r="AL102">
        <f t="shared" si="38"/>
        <v>36000</v>
      </c>
      <c r="AM102">
        <f t="shared" si="39"/>
        <v>36000</v>
      </c>
      <c r="AO102">
        <f t="shared" si="40"/>
        <v>6.45</v>
      </c>
      <c r="AP102">
        <f t="shared" si="41"/>
        <v>5.59</v>
      </c>
      <c r="AQ102" t="e">
        <f t="shared" si="42"/>
        <v>#N/A</v>
      </c>
      <c r="AR102" t="e">
        <f t="shared" si="43"/>
        <v>#N/A</v>
      </c>
      <c r="AS102" t="e">
        <f t="shared" si="44"/>
        <v>#N/A</v>
      </c>
      <c r="AT102" t="e">
        <f t="shared" si="45"/>
        <v>#N/A</v>
      </c>
      <c r="AU102">
        <f t="shared" si="46"/>
        <v>7.72</v>
      </c>
      <c r="AV102">
        <f t="shared" si="47"/>
        <v>5.92</v>
      </c>
      <c r="AW102" t="e">
        <f t="shared" si="48"/>
        <v>#N/A</v>
      </c>
      <c r="AX102" t="e">
        <f t="shared" si="49"/>
        <v>#N/A</v>
      </c>
      <c r="AY102" t="e">
        <f t="shared" si="50"/>
        <v>#N/A</v>
      </c>
      <c r="AZ102" t="e">
        <f t="shared" si="51"/>
        <v>#N/A</v>
      </c>
    </row>
    <row r="103" spans="1:52" x14ac:dyDescent="0.3">
      <c r="A103" t="s">
        <v>99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854.57</v>
      </c>
      <c r="J103">
        <v>365.48</v>
      </c>
      <c r="K103">
        <v>36000</v>
      </c>
      <c r="L103">
        <v>36000</v>
      </c>
      <c r="M103">
        <v>36000</v>
      </c>
      <c r="N103">
        <v>36000</v>
      </c>
      <c r="O103">
        <f t="shared" si="28"/>
        <v>854.57</v>
      </c>
      <c r="P103">
        <f t="shared" si="29"/>
        <v>365.48</v>
      </c>
      <c r="Q103">
        <f t="shared" si="30"/>
        <v>36000</v>
      </c>
      <c r="R103">
        <f t="shared" si="31"/>
        <v>36000</v>
      </c>
      <c r="S103">
        <f t="shared" si="32"/>
        <v>36000</v>
      </c>
      <c r="T103">
        <f t="shared" si="33"/>
        <v>36000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837.06</v>
      </c>
      <c r="AC103">
        <v>727.33</v>
      </c>
      <c r="AD103">
        <v>36000</v>
      </c>
      <c r="AE103">
        <v>36000</v>
      </c>
      <c r="AF103">
        <v>36000</v>
      </c>
      <c r="AG103">
        <v>36000</v>
      </c>
      <c r="AH103">
        <f t="shared" si="34"/>
        <v>837.06</v>
      </c>
      <c r="AI103">
        <f t="shared" si="35"/>
        <v>727.33</v>
      </c>
      <c r="AJ103">
        <f t="shared" si="36"/>
        <v>36000</v>
      </c>
      <c r="AK103">
        <f t="shared" si="37"/>
        <v>36000</v>
      </c>
      <c r="AL103">
        <f t="shared" si="38"/>
        <v>36000</v>
      </c>
      <c r="AM103">
        <f t="shared" si="39"/>
        <v>36000</v>
      </c>
      <c r="AO103">
        <f t="shared" si="40"/>
        <v>854.57</v>
      </c>
      <c r="AP103">
        <f t="shared" si="41"/>
        <v>365.48</v>
      </c>
      <c r="AQ103" t="e">
        <f t="shared" si="42"/>
        <v>#N/A</v>
      </c>
      <c r="AR103" t="e">
        <f t="shared" si="43"/>
        <v>#N/A</v>
      </c>
      <c r="AS103" t="e">
        <f t="shared" si="44"/>
        <v>#N/A</v>
      </c>
      <c r="AT103" t="e">
        <f t="shared" si="45"/>
        <v>#N/A</v>
      </c>
      <c r="AU103">
        <f t="shared" si="46"/>
        <v>837.06</v>
      </c>
      <c r="AV103">
        <f t="shared" si="47"/>
        <v>727.33</v>
      </c>
      <c r="AW103" t="e">
        <f t="shared" si="48"/>
        <v>#N/A</v>
      </c>
      <c r="AX103" t="e">
        <f t="shared" si="49"/>
        <v>#N/A</v>
      </c>
      <c r="AY103" t="e">
        <f t="shared" si="50"/>
        <v>#N/A</v>
      </c>
      <c r="AZ103" t="e">
        <f t="shared" si="51"/>
        <v>#N/A</v>
      </c>
    </row>
    <row r="104" spans="1:52" x14ac:dyDescent="0.3">
      <c r="A104" t="s">
        <v>100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1785.59</v>
      </c>
      <c r="J104">
        <v>1036.28</v>
      </c>
      <c r="K104">
        <v>36000</v>
      </c>
      <c r="L104">
        <v>36000</v>
      </c>
      <c r="M104">
        <v>36000</v>
      </c>
      <c r="N104">
        <v>36000</v>
      </c>
      <c r="O104">
        <f t="shared" si="28"/>
        <v>1785.59</v>
      </c>
      <c r="P104">
        <f t="shared" si="29"/>
        <v>1036.28</v>
      </c>
      <c r="Q104">
        <f t="shared" si="30"/>
        <v>36000</v>
      </c>
      <c r="R104">
        <f t="shared" si="31"/>
        <v>36000</v>
      </c>
      <c r="S104">
        <f t="shared" si="32"/>
        <v>36000</v>
      </c>
      <c r="T104">
        <f t="shared" si="33"/>
        <v>36000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2006.96</v>
      </c>
      <c r="AC104">
        <v>1291.08</v>
      </c>
      <c r="AD104">
        <v>36000</v>
      </c>
      <c r="AE104">
        <v>36000</v>
      </c>
      <c r="AF104">
        <v>36000</v>
      </c>
      <c r="AG104">
        <v>36000</v>
      </c>
      <c r="AH104">
        <f t="shared" si="34"/>
        <v>2006.96</v>
      </c>
      <c r="AI104">
        <f t="shared" si="35"/>
        <v>1291.08</v>
      </c>
      <c r="AJ104">
        <f t="shared" si="36"/>
        <v>36000</v>
      </c>
      <c r="AK104">
        <f t="shared" si="37"/>
        <v>36000</v>
      </c>
      <c r="AL104">
        <f t="shared" si="38"/>
        <v>36000</v>
      </c>
      <c r="AM104">
        <f t="shared" si="39"/>
        <v>36000</v>
      </c>
      <c r="AO104">
        <f t="shared" si="40"/>
        <v>1785.59</v>
      </c>
      <c r="AP104">
        <f t="shared" si="41"/>
        <v>1036.28</v>
      </c>
      <c r="AQ104" t="e">
        <f t="shared" si="42"/>
        <v>#N/A</v>
      </c>
      <c r="AR104" t="e">
        <f t="shared" si="43"/>
        <v>#N/A</v>
      </c>
      <c r="AS104" t="e">
        <f t="shared" si="44"/>
        <v>#N/A</v>
      </c>
      <c r="AT104" t="e">
        <f t="shared" si="45"/>
        <v>#N/A</v>
      </c>
      <c r="AU104">
        <f t="shared" si="46"/>
        <v>2006.96</v>
      </c>
      <c r="AV104">
        <f t="shared" si="47"/>
        <v>1291.08</v>
      </c>
      <c r="AW104" t="e">
        <f t="shared" si="48"/>
        <v>#N/A</v>
      </c>
      <c r="AX104" t="e">
        <f t="shared" si="49"/>
        <v>#N/A</v>
      </c>
      <c r="AY104" t="e">
        <f t="shared" si="50"/>
        <v>#N/A</v>
      </c>
      <c r="AZ104" t="e">
        <f t="shared" si="51"/>
        <v>#N/A</v>
      </c>
    </row>
    <row r="105" spans="1:52" x14ac:dyDescent="0.3">
      <c r="A105" t="s">
        <v>101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36.44</v>
      </c>
      <c r="J105">
        <v>40.47</v>
      </c>
      <c r="K105">
        <v>36000</v>
      </c>
      <c r="L105">
        <v>36000</v>
      </c>
      <c r="M105">
        <v>36000</v>
      </c>
      <c r="N105">
        <v>36000</v>
      </c>
      <c r="O105">
        <f t="shared" si="28"/>
        <v>36.44</v>
      </c>
      <c r="P105">
        <f t="shared" si="29"/>
        <v>40.47</v>
      </c>
      <c r="Q105">
        <f t="shared" si="30"/>
        <v>36000</v>
      </c>
      <c r="R105">
        <f t="shared" si="31"/>
        <v>36000</v>
      </c>
      <c r="S105">
        <f t="shared" si="32"/>
        <v>36000</v>
      </c>
      <c r="T105">
        <f t="shared" si="33"/>
        <v>36000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46.39</v>
      </c>
      <c r="AC105">
        <v>83.98</v>
      </c>
      <c r="AD105">
        <v>36000</v>
      </c>
      <c r="AE105">
        <v>36000</v>
      </c>
      <c r="AF105">
        <v>36000</v>
      </c>
      <c r="AG105">
        <v>36000</v>
      </c>
      <c r="AH105">
        <f t="shared" si="34"/>
        <v>46.39</v>
      </c>
      <c r="AI105">
        <f t="shared" si="35"/>
        <v>83.98</v>
      </c>
      <c r="AJ105">
        <f t="shared" si="36"/>
        <v>36000</v>
      </c>
      <c r="AK105">
        <f t="shared" si="37"/>
        <v>36000</v>
      </c>
      <c r="AL105">
        <f t="shared" si="38"/>
        <v>36000</v>
      </c>
      <c r="AM105">
        <f t="shared" si="39"/>
        <v>36000</v>
      </c>
      <c r="AO105">
        <f t="shared" si="40"/>
        <v>36.44</v>
      </c>
      <c r="AP105">
        <f t="shared" si="41"/>
        <v>40.47</v>
      </c>
      <c r="AQ105" t="e">
        <f t="shared" si="42"/>
        <v>#N/A</v>
      </c>
      <c r="AR105" t="e">
        <f t="shared" si="43"/>
        <v>#N/A</v>
      </c>
      <c r="AS105" t="e">
        <f t="shared" si="44"/>
        <v>#N/A</v>
      </c>
      <c r="AT105" t="e">
        <f t="shared" si="45"/>
        <v>#N/A</v>
      </c>
      <c r="AU105">
        <f t="shared" si="46"/>
        <v>46.39</v>
      </c>
      <c r="AV105">
        <f t="shared" si="47"/>
        <v>83.98</v>
      </c>
      <c r="AW105" t="e">
        <f t="shared" si="48"/>
        <v>#N/A</v>
      </c>
      <c r="AX105" t="e">
        <f t="shared" si="49"/>
        <v>#N/A</v>
      </c>
      <c r="AY105" t="e">
        <f t="shared" si="50"/>
        <v>#N/A</v>
      </c>
      <c r="AZ105" t="e">
        <f t="shared" si="51"/>
        <v>#N/A</v>
      </c>
    </row>
    <row r="106" spans="1:52" x14ac:dyDescent="0.3">
      <c r="A106" t="s">
        <v>102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278.68</v>
      </c>
      <c r="J106">
        <v>299.93</v>
      </c>
      <c r="K106">
        <v>36000</v>
      </c>
      <c r="L106">
        <v>36000</v>
      </c>
      <c r="M106">
        <v>36000</v>
      </c>
      <c r="N106">
        <v>36000</v>
      </c>
      <c r="O106">
        <f t="shared" si="28"/>
        <v>278.68</v>
      </c>
      <c r="P106">
        <f t="shared" si="29"/>
        <v>299.93</v>
      </c>
      <c r="Q106">
        <f t="shared" si="30"/>
        <v>36000</v>
      </c>
      <c r="R106">
        <f t="shared" si="31"/>
        <v>36000</v>
      </c>
      <c r="S106">
        <f t="shared" si="32"/>
        <v>36000</v>
      </c>
      <c r="T106">
        <f t="shared" si="33"/>
        <v>36000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450.1</v>
      </c>
      <c r="AC106">
        <v>331.67</v>
      </c>
      <c r="AD106">
        <v>36000</v>
      </c>
      <c r="AE106">
        <v>36000</v>
      </c>
      <c r="AF106">
        <v>36000</v>
      </c>
      <c r="AG106">
        <v>36000</v>
      </c>
      <c r="AH106">
        <f t="shared" si="34"/>
        <v>450.1</v>
      </c>
      <c r="AI106">
        <f t="shared" si="35"/>
        <v>331.67</v>
      </c>
      <c r="AJ106">
        <f t="shared" si="36"/>
        <v>36000</v>
      </c>
      <c r="AK106">
        <f t="shared" si="37"/>
        <v>36000</v>
      </c>
      <c r="AL106">
        <f t="shared" si="38"/>
        <v>36000</v>
      </c>
      <c r="AM106">
        <f t="shared" si="39"/>
        <v>36000</v>
      </c>
      <c r="AO106">
        <f t="shared" si="40"/>
        <v>278.68</v>
      </c>
      <c r="AP106">
        <f t="shared" si="41"/>
        <v>299.93</v>
      </c>
      <c r="AQ106" t="e">
        <f t="shared" si="42"/>
        <v>#N/A</v>
      </c>
      <c r="AR106" t="e">
        <f t="shared" si="43"/>
        <v>#N/A</v>
      </c>
      <c r="AS106" t="e">
        <f t="shared" si="44"/>
        <v>#N/A</v>
      </c>
      <c r="AT106" t="e">
        <f t="shared" si="45"/>
        <v>#N/A</v>
      </c>
      <c r="AU106">
        <f t="shared" si="46"/>
        <v>450.1</v>
      </c>
      <c r="AV106">
        <f t="shared" si="47"/>
        <v>331.67</v>
      </c>
      <c r="AW106" t="e">
        <f t="shared" si="48"/>
        <v>#N/A</v>
      </c>
      <c r="AX106" t="e">
        <f t="shared" si="49"/>
        <v>#N/A</v>
      </c>
      <c r="AY106" t="e">
        <f t="shared" si="50"/>
        <v>#N/A</v>
      </c>
      <c r="AZ106" t="e">
        <f t="shared" si="51"/>
        <v>#N/A</v>
      </c>
    </row>
    <row r="107" spans="1:52" x14ac:dyDescent="0.3">
      <c r="A107" t="s">
        <v>103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483.28</v>
      </c>
      <c r="J107">
        <v>512.32000000000005</v>
      </c>
      <c r="K107">
        <v>36000</v>
      </c>
      <c r="L107">
        <v>36000</v>
      </c>
      <c r="M107">
        <v>36000</v>
      </c>
      <c r="N107">
        <v>36000</v>
      </c>
      <c r="O107">
        <f t="shared" si="28"/>
        <v>483.28</v>
      </c>
      <c r="P107">
        <f t="shared" si="29"/>
        <v>512.32000000000005</v>
      </c>
      <c r="Q107">
        <f t="shared" si="30"/>
        <v>36000</v>
      </c>
      <c r="R107">
        <f t="shared" si="31"/>
        <v>36000</v>
      </c>
      <c r="S107">
        <f t="shared" si="32"/>
        <v>36000</v>
      </c>
      <c r="T107">
        <f t="shared" si="33"/>
        <v>36000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1009.04</v>
      </c>
      <c r="AC107">
        <v>935.37</v>
      </c>
      <c r="AD107">
        <v>36000</v>
      </c>
      <c r="AE107">
        <v>36000</v>
      </c>
      <c r="AF107">
        <v>36000</v>
      </c>
      <c r="AG107">
        <v>36000</v>
      </c>
      <c r="AH107">
        <f t="shared" si="34"/>
        <v>1009.04</v>
      </c>
      <c r="AI107">
        <f t="shared" si="35"/>
        <v>935.37</v>
      </c>
      <c r="AJ107">
        <f t="shared" si="36"/>
        <v>36000</v>
      </c>
      <c r="AK107">
        <f t="shared" si="37"/>
        <v>36000</v>
      </c>
      <c r="AL107">
        <f t="shared" si="38"/>
        <v>36000</v>
      </c>
      <c r="AM107">
        <f t="shared" si="39"/>
        <v>36000</v>
      </c>
      <c r="AO107">
        <f t="shared" si="40"/>
        <v>483.28</v>
      </c>
      <c r="AP107">
        <f t="shared" si="41"/>
        <v>512.32000000000005</v>
      </c>
      <c r="AQ107" t="e">
        <f t="shared" si="42"/>
        <v>#N/A</v>
      </c>
      <c r="AR107" t="e">
        <f t="shared" si="43"/>
        <v>#N/A</v>
      </c>
      <c r="AS107" t="e">
        <f t="shared" si="44"/>
        <v>#N/A</v>
      </c>
      <c r="AT107" t="e">
        <f t="shared" si="45"/>
        <v>#N/A</v>
      </c>
      <c r="AU107">
        <f t="shared" si="46"/>
        <v>1009.04</v>
      </c>
      <c r="AV107">
        <f t="shared" si="47"/>
        <v>935.37</v>
      </c>
      <c r="AW107" t="e">
        <f t="shared" si="48"/>
        <v>#N/A</v>
      </c>
      <c r="AX107" t="e">
        <f t="shared" si="49"/>
        <v>#N/A</v>
      </c>
      <c r="AY107" t="e">
        <f t="shared" si="50"/>
        <v>#N/A</v>
      </c>
      <c r="AZ107" t="e">
        <f t="shared" si="51"/>
        <v>#N/A</v>
      </c>
    </row>
    <row r="108" spans="1:52" x14ac:dyDescent="0.3">
      <c r="A108" t="s">
        <v>104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0.76</v>
      </c>
      <c r="J108">
        <v>1.35</v>
      </c>
      <c r="K108">
        <v>30.08</v>
      </c>
      <c r="L108">
        <v>42.68</v>
      </c>
      <c r="M108">
        <v>39.130000000000003</v>
      </c>
      <c r="N108">
        <v>36.24</v>
      </c>
      <c r="O108">
        <f t="shared" si="28"/>
        <v>0.76</v>
      </c>
      <c r="P108">
        <f t="shared" si="29"/>
        <v>1.35</v>
      </c>
      <c r="Q108">
        <f t="shared" si="30"/>
        <v>30.08</v>
      </c>
      <c r="R108">
        <f t="shared" si="31"/>
        <v>42.68</v>
      </c>
      <c r="S108">
        <f t="shared" si="32"/>
        <v>39.130000000000003</v>
      </c>
      <c r="T108">
        <f t="shared" si="33"/>
        <v>36.24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-1</v>
      </c>
      <c r="AB108">
        <v>1.1200000000000001</v>
      </c>
      <c r="AC108">
        <v>0.95</v>
      </c>
      <c r="AD108">
        <v>180.83</v>
      </c>
      <c r="AE108">
        <v>327.63</v>
      </c>
      <c r="AF108">
        <v>250.53</v>
      </c>
      <c r="AG108">
        <v>220</v>
      </c>
      <c r="AH108">
        <f t="shared" si="34"/>
        <v>1.1200000000000001</v>
      </c>
      <c r="AI108">
        <f t="shared" si="35"/>
        <v>0.95</v>
      </c>
      <c r="AJ108">
        <f t="shared" si="36"/>
        <v>180.83</v>
      </c>
      <c r="AK108">
        <f t="shared" si="37"/>
        <v>327.63</v>
      </c>
      <c r="AL108">
        <f t="shared" si="38"/>
        <v>250.53</v>
      </c>
      <c r="AM108" t="e">
        <f t="shared" si="39"/>
        <v>#N/A</v>
      </c>
      <c r="AO108">
        <f t="shared" si="40"/>
        <v>0.76</v>
      </c>
      <c r="AP108">
        <f t="shared" si="41"/>
        <v>1.35</v>
      </c>
      <c r="AQ108">
        <f t="shared" si="42"/>
        <v>30.08</v>
      </c>
      <c r="AR108">
        <f t="shared" si="43"/>
        <v>42.68</v>
      </c>
      <c r="AS108">
        <f t="shared" si="44"/>
        <v>39.130000000000003</v>
      </c>
      <c r="AT108" t="e">
        <f t="shared" si="45"/>
        <v>#N/A</v>
      </c>
      <c r="AU108">
        <f t="shared" si="46"/>
        <v>1.1200000000000001</v>
      </c>
      <c r="AV108">
        <f t="shared" si="47"/>
        <v>0.95</v>
      </c>
      <c r="AW108">
        <f t="shared" si="48"/>
        <v>180.83</v>
      </c>
      <c r="AX108">
        <f t="shared" si="49"/>
        <v>327.63</v>
      </c>
      <c r="AY108">
        <f t="shared" si="50"/>
        <v>250.53</v>
      </c>
      <c r="AZ108" t="e">
        <f t="shared" si="51"/>
        <v>#N/A</v>
      </c>
    </row>
    <row r="109" spans="1:52" x14ac:dyDescent="0.3">
      <c r="A109" t="s">
        <v>105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1.6</v>
      </c>
      <c r="J109">
        <v>2.31</v>
      </c>
      <c r="K109">
        <v>37.590000000000003</v>
      </c>
      <c r="L109">
        <v>39.99</v>
      </c>
      <c r="M109">
        <v>50.41</v>
      </c>
      <c r="N109">
        <v>43.6</v>
      </c>
      <c r="O109">
        <f t="shared" si="28"/>
        <v>1.6</v>
      </c>
      <c r="P109">
        <f t="shared" si="29"/>
        <v>2.31</v>
      </c>
      <c r="Q109">
        <f t="shared" si="30"/>
        <v>37.590000000000003</v>
      </c>
      <c r="R109">
        <f t="shared" si="31"/>
        <v>39.99</v>
      </c>
      <c r="S109">
        <f t="shared" si="32"/>
        <v>50.41</v>
      </c>
      <c r="T109">
        <f t="shared" si="33"/>
        <v>43.6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1.88</v>
      </c>
      <c r="AC109">
        <v>1.49</v>
      </c>
      <c r="AD109">
        <v>260.17</v>
      </c>
      <c r="AE109">
        <v>360.46</v>
      </c>
      <c r="AF109">
        <v>440.66</v>
      </c>
      <c r="AG109">
        <v>253.93</v>
      </c>
      <c r="AH109">
        <f t="shared" si="34"/>
        <v>1.88</v>
      </c>
      <c r="AI109">
        <f t="shared" si="35"/>
        <v>1.49</v>
      </c>
      <c r="AJ109">
        <f t="shared" si="36"/>
        <v>260.17</v>
      </c>
      <c r="AK109">
        <f t="shared" si="37"/>
        <v>360.46</v>
      </c>
      <c r="AL109">
        <f t="shared" si="38"/>
        <v>440.66</v>
      </c>
      <c r="AM109">
        <f t="shared" si="39"/>
        <v>253.93</v>
      </c>
      <c r="AO109">
        <f t="shared" si="40"/>
        <v>1.6</v>
      </c>
      <c r="AP109">
        <f t="shared" si="41"/>
        <v>2.31</v>
      </c>
      <c r="AQ109">
        <f t="shared" si="42"/>
        <v>37.590000000000003</v>
      </c>
      <c r="AR109">
        <f t="shared" si="43"/>
        <v>39.99</v>
      </c>
      <c r="AS109">
        <f t="shared" si="44"/>
        <v>50.41</v>
      </c>
      <c r="AT109">
        <f t="shared" si="45"/>
        <v>43.6</v>
      </c>
      <c r="AU109">
        <f t="shared" si="46"/>
        <v>1.88</v>
      </c>
      <c r="AV109">
        <f t="shared" si="47"/>
        <v>1.49</v>
      </c>
      <c r="AW109">
        <f t="shared" si="48"/>
        <v>260.17</v>
      </c>
      <c r="AX109">
        <f t="shared" si="49"/>
        <v>360.46</v>
      </c>
      <c r="AY109">
        <f t="shared" si="50"/>
        <v>440.66</v>
      </c>
      <c r="AZ109">
        <f t="shared" si="51"/>
        <v>253.93</v>
      </c>
    </row>
    <row r="110" spans="1:52" x14ac:dyDescent="0.3">
      <c r="A110" t="s">
        <v>106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1.1599999999999999</v>
      </c>
      <c r="J110">
        <v>1.68</v>
      </c>
      <c r="K110">
        <v>47.4</v>
      </c>
      <c r="L110">
        <v>31.81</v>
      </c>
      <c r="M110">
        <v>36.51</v>
      </c>
      <c r="N110">
        <v>40.68</v>
      </c>
      <c r="O110">
        <f t="shared" si="28"/>
        <v>1.1599999999999999</v>
      </c>
      <c r="P110">
        <f t="shared" si="29"/>
        <v>1.68</v>
      </c>
      <c r="Q110">
        <f t="shared" si="30"/>
        <v>47.4</v>
      </c>
      <c r="R110">
        <f t="shared" si="31"/>
        <v>31.81</v>
      </c>
      <c r="S110">
        <f t="shared" si="32"/>
        <v>36.51</v>
      </c>
      <c r="T110">
        <f t="shared" si="33"/>
        <v>40.68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2.0699999999999998</v>
      </c>
      <c r="AC110">
        <v>1.34</v>
      </c>
      <c r="AD110">
        <v>219.47</v>
      </c>
      <c r="AE110">
        <v>246.15</v>
      </c>
      <c r="AF110">
        <v>352.31</v>
      </c>
      <c r="AG110">
        <v>187.2</v>
      </c>
      <c r="AH110">
        <f t="shared" si="34"/>
        <v>2.0699999999999998</v>
      </c>
      <c r="AI110">
        <f t="shared" si="35"/>
        <v>1.34</v>
      </c>
      <c r="AJ110">
        <f t="shared" si="36"/>
        <v>219.47</v>
      </c>
      <c r="AK110">
        <f t="shared" si="37"/>
        <v>246.15</v>
      </c>
      <c r="AL110">
        <f t="shared" si="38"/>
        <v>352.31</v>
      </c>
      <c r="AM110">
        <f t="shared" si="39"/>
        <v>187.2</v>
      </c>
      <c r="AO110">
        <f t="shared" si="40"/>
        <v>1.1599999999999999</v>
      </c>
      <c r="AP110">
        <f t="shared" si="41"/>
        <v>1.68</v>
      </c>
      <c r="AQ110">
        <f t="shared" si="42"/>
        <v>47.4</v>
      </c>
      <c r="AR110">
        <f t="shared" si="43"/>
        <v>31.81</v>
      </c>
      <c r="AS110">
        <f t="shared" si="44"/>
        <v>36.51</v>
      </c>
      <c r="AT110">
        <f t="shared" si="45"/>
        <v>40.68</v>
      </c>
      <c r="AU110">
        <f t="shared" si="46"/>
        <v>2.0699999999999998</v>
      </c>
      <c r="AV110">
        <f t="shared" si="47"/>
        <v>1.34</v>
      </c>
      <c r="AW110">
        <f t="shared" si="48"/>
        <v>219.47</v>
      </c>
      <c r="AX110">
        <f t="shared" si="49"/>
        <v>246.15</v>
      </c>
      <c r="AY110">
        <f t="shared" si="50"/>
        <v>352.31</v>
      </c>
      <c r="AZ110">
        <f t="shared" si="51"/>
        <v>187.2</v>
      </c>
    </row>
    <row r="111" spans="1:52" x14ac:dyDescent="0.3">
      <c r="A111" t="s">
        <v>107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27.19</v>
      </c>
      <c r="J111">
        <v>35.549999999999997</v>
      </c>
      <c r="K111">
        <v>36000</v>
      </c>
      <c r="L111">
        <v>36000</v>
      </c>
      <c r="M111">
        <v>36000</v>
      </c>
      <c r="N111">
        <v>36000</v>
      </c>
      <c r="O111">
        <f t="shared" si="28"/>
        <v>27.19</v>
      </c>
      <c r="P111">
        <f t="shared" si="29"/>
        <v>35.549999999999997</v>
      </c>
      <c r="Q111">
        <f t="shared" si="30"/>
        <v>36000</v>
      </c>
      <c r="R111">
        <f t="shared" si="31"/>
        <v>36000</v>
      </c>
      <c r="S111">
        <f t="shared" si="32"/>
        <v>36000</v>
      </c>
      <c r="T111">
        <f t="shared" si="33"/>
        <v>36000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65.25</v>
      </c>
      <c r="AC111">
        <v>68.53</v>
      </c>
      <c r="AD111">
        <v>36000</v>
      </c>
      <c r="AE111">
        <v>36000</v>
      </c>
      <c r="AF111">
        <v>36000</v>
      </c>
      <c r="AG111">
        <v>36000</v>
      </c>
      <c r="AH111">
        <f t="shared" si="34"/>
        <v>65.25</v>
      </c>
      <c r="AI111">
        <f t="shared" si="35"/>
        <v>68.53</v>
      </c>
      <c r="AJ111">
        <f t="shared" si="36"/>
        <v>36000</v>
      </c>
      <c r="AK111">
        <f t="shared" si="37"/>
        <v>36000</v>
      </c>
      <c r="AL111">
        <f t="shared" si="38"/>
        <v>36000</v>
      </c>
      <c r="AM111">
        <f t="shared" si="39"/>
        <v>36000</v>
      </c>
      <c r="AO111">
        <f t="shared" si="40"/>
        <v>27.19</v>
      </c>
      <c r="AP111">
        <f t="shared" si="41"/>
        <v>35.549999999999997</v>
      </c>
      <c r="AQ111" t="e">
        <f t="shared" si="42"/>
        <v>#N/A</v>
      </c>
      <c r="AR111" t="e">
        <f t="shared" si="43"/>
        <v>#N/A</v>
      </c>
      <c r="AS111" t="e">
        <f t="shared" si="44"/>
        <v>#N/A</v>
      </c>
      <c r="AT111" t="e">
        <f t="shared" si="45"/>
        <v>#N/A</v>
      </c>
      <c r="AU111">
        <f t="shared" si="46"/>
        <v>65.25</v>
      </c>
      <c r="AV111">
        <f t="shared" si="47"/>
        <v>68.53</v>
      </c>
      <c r="AW111" t="e">
        <f t="shared" si="48"/>
        <v>#N/A</v>
      </c>
      <c r="AX111" t="e">
        <f t="shared" si="49"/>
        <v>#N/A</v>
      </c>
      <c r="AY111" t="e">
        <f t="shared" si="50"/>
        <v>#N/A</v>
      </c>
      <c r="AZ111" t="e">
        <f t="shared" si="51"/>
        <v>#N/A</v>
      </c>
    </row>
    <row r="112" spans="1:52" x14ac:dyDescent="0.3">
      <c r="A112" t="s">
        <v>108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3995.78</v>
      </c>
      <c r="J112">
        <v>3288.17</v>
      </c>
      <c r="K112">
        <v>36000</v>
      </c>
      <c r="L112">
        <v>36000</v>
      </c>
      <c r="M112">
        <v>36000</v>
      </c>
      <c r="N112">
        <v>36000</v>
      </c>
      <c r="O112">
        <f t="shared" si="28"/>
        <v>3995.78</v>
      </c>
      <c r="P112">
        <f t="shared" si="29"/>
        <v>3288.17</v>
      </c>
      <c r="Q112">
        <f t="shared" si="30"/>
        <v>36000</v>
      </c>
      <c r="R112">
        <f t="shared" si="31"/>
        <v>36000</v>
      </c>
      <c r="S112">
        <f t="shared" si="32"/>
        <v>36000</v>
      </c>
      <c r="T112">
        <f t="shared" si="33"/>
        <v>36000</v>
      </c>
      <c r="V112">
        <v>1</v>
      </c>
      <c r="W112">
        <v>1</v>
      </c>
      <c r="X112">
        <v>0</v>
      </c>
      <c r="Y112">
        <v>0</v>
      </c>
      <c r="Z112">
        <v>-1</v>
      </c>
      <c r="AA112">
        <v>0</v>
      </c>
      <c r="AB112">
        <v>10260.43</v>
      </c>
      <c r="AC112">
        <v>4617.83</v>
      </c>
      <c r="AD112">
        <v>36000</v>
      </c>
      <c r="AE112">
        <v>36000</v>
      </c>
      <c r="AF112">
        <v>36000</v>
      </c>
      <c r="AG112">
        <v>36000</v>
      </c>
      <c r="AH112">
        <f t="shared" si="34"/>
        <v>10260.43</v>
      </c>
      <c r="AI112">
        <f t="shared" si="35"/>
        <v>4617.83</v>
      </c>
      <c r="AJ112">
        <f t="shared" si="36"/>
        <v>36000</v>
      </c>
      <c r="AK112">
        <f t="shared" si="37"/>
        <v>36000</v>
      </c>
      <c r="AL112" t="e">
        <f t="shared" si="38"/>
        <v>#N/A</v>
      </c>
      <c r="AM112">
        <f t="shared" si="39"/>
        <v>36000</v>
      </c>
      <c r="AO112">
        <f t="shared" si="40"/>
        <v>3995.78</v>
      </c>
      <c r="AP112">
        <f t="shared" si="41"/>
        <v>3288.17</v>
      </c>
      <c r="AQ112" t="e">
        <f t="shared" si="42"/>
        <v>#N/A</v>
      </c>
      <c r="AR112" t="e">
        <f t="shared" si="43"/>
        <v>#N/A</v>
      </c>
      <c r="AS112" t="e">
        <f t="shared" si="44"/>
        <v>#N/A</v>
      </c>
      <c r="AT112" t="e">
        <f t="shared" si="45"/>
        <v>#N/A</v>
      </c>
      <c r="AU112">
        <f t="shared" si="46"/>
        <v>10260.43</v>
      </c>
      <c r="AV112">
        <f t="shared" si="47"/>
        <v>4617.83</v>
      </c>
      <c r="AW112" t="e">
        <f t="shared" si="48"/>
        <v>#N/A</v>
      </c>
      <c r="AX112" t="e">
        <f t="shared" si="49"/>
        <v>#N/A</v>
      </c>
      <c r="AY112" t="e">
        <f t="shared" si="50"/>
        <v>#N/A</v>
      </c>
      <c r="AZ112" t="e">
        <f t="shared" si="51"/>
        <v>#N/A</v>
      </c>
    </row>
    <row r="113" spans="1:52" x14ac:dyDescent="0.3">
      <c r="A113" t="s">
        <v>109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3497.64</v>
      </c>
      <c r="J113">
        <v>2920.03</v>
      </c>
      <c r="K113">
        <v>36000</v>
      </c>
      <c r="L113">
        <v>36000</v>
      </c>
      <c r="M113">
        <v>36000</v>
      </c>
      <c r="N113">
        <v>36000</v>
      </c>
      <c r="O113">
        <f t="shared" si="28"/>
        <v>3497.64</v>
      </c>
      <c r="P113">
        <f t="shared" si="29"/>
        <v>2920.03</v>
      </c>
      <c r="Q113">
        <f t="shared" si="30"/>
        <v>36000</v>
      </c>
      <c r="R113">
        <f t="shared" si="31"/>
        <v>36000</v>
      </c>
      <c r="S113">
        <f t="shared" si="32"/>
        <v>36000</v>
      </c>
      <c r="T113">
        <f t="shared" si="33"/>
        <v>36000</v>
      </c>
      <c r="V113">
        <v>1</v>
      </c>
      <c r="W113">
        <v>1</v>
      </c>
      <c r="X113">
        <v>0</v>
      </c>
      <c r="Y113">
        <v>-1</v>
      </c>
      <c r="Z113">
        <v>-1</v>
      </c>
      <c r="AA113">
        <v>0</v>
      </c>
      <c r="AB113">
        <v>10471.83</v>
      </c>
      <c r="AC113">
        <v>4529.28</v>
      </c>
      <c r="AD113">
        <v>36000</v>
      </c>
      <c r="AE113">
        <v>36000</v>
      </c>
      <c r="AF113">
        <v>36000</v>
      </c>
      <c r="AG113">
        <v>36000</v>
      </c>
      <c r="AH113">
        <f t="shared" si="34"/>
        <v>10471.83</v>
      </c>
      <c r="AI113">
        <f t="shared" si="35"/>
        <v>4529.28</v>
      </c>
      <c r="AJ113">
        <f t="shared" si="36"/>
        <v>36000</v>
      </c>
      <c r="AK113" t="e">
        <f t="shared" si="37"/>
        <v>#N/A</v>
      </c>
      <c r="AL113" t="e">
        <f t="shared" si="38"/>
        <v>#N/A</v>
      </c>
      <c r="AM113">
        <f t="shared" si="39"/>
        <v>36000</v>
      </c>
      <c r="AO113">
        <f t="shared" si="40"/>
        <v>3497.64</v>
      </c>
      <c r="AP113">
        <f t="shared" si="41"/>
        <v>2920.03</v>
      </c>
      <c r="AQ113" t="e">
        <f t="shared" si="42"/>
        <v>#N/A</v>
      </c>
      <c r="AR113" t="e">
        <f t="shared" si="43"/>
        <v>#N/A</v>
      </c>
      <c r="AS113" t="e">
        <f t="shared" si="44"/>
        <v>#N/A</v>
      </c>
      <c r="AT113" t="e">
        <f t="shared" si="45"/>
        <v>#N/A</v>
      </c>
      <c r="AU113">
        <f t="shared" si="46"/>
        <v>10471.83</v>
      </c>
      <c r="AV113">
        <f t="shared" si="47"/>
        <v>4529.28</v>
      </c>
      <c r="AW113" t="e">
        <f t="shared" si="48"/>
        <v>#N/A</v>
      </c>
      <c r="AX113" t="e">
        <f t="shared" si="49"/>
        <v>#N/A</v>
      </c>
      <c r="AY113" t="e">
        <f t="shared" si="50"/>
        <v>#N/A</v>
      </c>
      <c r="AZ113" t="e">
        <f t="shared" si="51"/>
        <v>#N/A</v>
      </c>
    </row>
    <row r="114" spans="1:52" x14ac:dyDescent="0.3">
      <c r="A114" t="s">
        <v>110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16.11</v>
      </c>
      <c r="J114">
        <v>27.13</v>
      </c>
      <c r="K114">
        <v>6266.24</v>
      </c>
      <c r="L114">
        <v>5186.3900000000003</v>
      </c>
      <c r="M114">
        <v>3415.57</v>
      </c>
      <c r="N114">
        <v>4379.8500000000004</v>
      </c>
      <c r="O114">
        <f t="shared" si="28"/>
        <v>16.11</v>
      </c>
      <c r="P114">
        <f t="shared" si="29"/>
        <v>27.13</v>
      </c>
      <c r="Q114">
        <f t="shared" si="30"/>
        <v>6266.24</v>
      </c>
      <c r="R114">
        <f t="shared" si="31"/>
        <v>5186.3900000000003</v>
      </c>
      <c r="S114">
        <f t="shared" si="32"/>
        <v>3415.57</v>
      </c>
      <c r="T114">
        <f t="shared" si="33"/>
        <v>4379.8500000000004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29.36</v>
      </c>
      <c r="AC114">
        <v>48.83</v>
      </c>
      <c r="AD114">
        <v>36000</v>
      </c>
      <c r="AE114">
        <v>20870.27</v>
      </c>
      <c r="AF114">
        <v>36000</v>
      </c>
      <c r="AG114">
        <v>36000</v>
      </c>
      <c r="AH114">
        <f t="shared" si="34"/>
        <v>29.36</v>
      </c>
      <c r="AI114">
        <f t="shared" si="35"/>
        <v>48.83</v>
      </c>
      <c r="AJ114">
        <f t="shared" si="36"/>
        <v>36000</v>
      </c>
      <c r="AK114">
        <f t="shared" si="37"/>
        <v>20870.27</v>
      </c>
      <c r="AL114">
        <f t="shared" si="38"/>
        <v>36000</v>
      </c>
      <c r="AM114">
        <f t="shared" si="39"/>
        <v>36000</v>
      </c>
      <c r="AO114">
        <f t="shared" si="40"/>
        <v>16.11</v>
      </c>
      <c r="AP114">
        <f t="shared" si="41"/>
        <v>27.13</v>
      </c>
      <c r="AQ114">
        <f t="shared" si="42"/>
        <v>6266.24</v>
      </c>
      <c r="AR114">
        <f t="shared" si="43"/>
        <v>5186.3900000000003</v>
      </c>
      <c r="AS114">
        <f t="shared" si="44"/>
        <v>3415.57</v>
      </c>
      <c r="AT114">
        <f t="shared" si="45"/>
        <v>4379.8500000000004</v>
      </c>
      <c r="AU114">
        <f t="shared" si="46"/>
        <v>29.36</v>
      </c>
      <c r="AV114">
        <f t="shared" si="47"/>
        <v>48.83</v>
      </c>
      <c r="AW114">
        <f t="shared" si="48"/>
        <v>36000</v>
      </c>
      <c r="AX114">
        <f t="shared" si="49"/>
        <v>20870.27</v>
      </c>
      <c r="AY114">
        <f t="shared" si="50"/>
        <v>36000</v>
      </c>
      <c r="AZ114">
        <f t="shared" si="51"/>
        <v>36000</v>
      </c>
    </row>
    <row r="115" spans="1:52" x14ac:dyDescent="0.3">
      <c r="A115" t="s">
        <v>111</v>
      </c>
      <c r="C115">
        <v>1</v>
      </c>
      <c r="D115">
        <v>1</v>
      </c>
      <c r="E115">
        <v>1</v>
      </c>
      <c r="F115">
        <v>1</v>
      </c>
      <c r="G115">
        <v>-1</v>
      </c>
      <c r="H115">
        <v>1</v>
      </c>
      <c r="I115">
        <v>15.92</v>
      </c>
      <c r="J115">
        <v>32.42</v>
      </c>
      <c r="K115">
        <v>5208.6499999999996</v>
      </c>
      <c r="L115">
        <v>3004.02</v>
      </c>
      <c r="M115">
        <v>5794.56</v>
      </c>
      <c r="N115">
        <v>6373.86</v>
      </c>
      <c r="O115">
        <f t="shared" si="28"/>
        <v>15.92</v>
      </c>
      <c r="P115">
        <f t="shared" si="29"/>
        <v>32.42</v>
      </c>
      <c r="Q115">
        <f t="shared" si="30"/>
        <v>5208.6499999999996</v>
      </c>
      <c r="R115">
        <f t="shared" si="31"/>
        <v>3004.02</v>
      </c>
      <c r="S115" t="e">
        <f t="shared" si="32"/>
        <v>#N/A</v>
      </c>
      <c r="T115">
        <f t="shared" si="33"/>
        <v>6373.86</v>
      </c>
      <c r="V115">
        <v>1</v>
      </c>
      <c r="W115">
        <v>1</v>
      </c>
      <c r="X115">
        <v>0</v>
      </c>
      <c r="Y115">
        <v>-1</v>
      </c>
      <c r="Z115">
        <v>0</v>
      </c>
      <c r="AA115">
        <v>0</v>
      </c>
      <c r="AB115">
        <v>59.65</v>
      </c>
      <c r="AC115">
        <v>51.19</v>
      </c>
      <c r="AD115">
        <v>36000</v>
      </c>
      <c r="AE115">
        <v>31.18</v>
      </c>
      <c r="AF115">
        <v>36000</v>
      </c>
      <c r="AG115">
        <v>36000</v>
      </c>
      <c r="AH115">
        <f t="shared" si="34"/>
        <v>59.65</v>
      </c>
      <c r="AI115">
        <f t="shared" si="35"/>
        <v>51.19</v>
      </c>
      <c r="AJ115">
        <f t="shared" si="36"/>
        <v>36000</v>
      </c>
      <c r="AK115" t="e">
        <f t="shared" si="37"/>
        <v>#N/A</v>
      </c>
      <c r="AL115">
        <f t="shared" si="38"/>
        <v>36000</v>
      </c>
      <c r="AM115">
        <f t="shared" si="39"/>
        <v>36000</v>
      </c>
      <c r="AO115">
        <f t="shared" si="40"/>
        <v>15.92</v>
      </c>
      <c r="AP115">
        <f t="shared" si="41"/>
        <v>32.42</v>
      </c>
      <c r="AQ115">
        <f t="shared" si="42"/>
        <v>5208.6499999999996</v>
      </c>
      <c r="AR115" t="e">
        <f t="shared" si="43"/>
        <v>#N/A</v>
      </c>
      <c r="AS115" t="e">
        <f t="shared" si="44"/>
        <v>#N/A</v>
      </c>
      <c r="AT115">
        <f t="shared" si="45"/>
        <v>6373.86</v>
      </c>
      <c r="AU115">
        <f t="shared" si="46"/>
        <v>59.65</v>
      </c>
      <c r="AV115">
        <f t="shared" si="47"/>
        <v>51.19</v>
      </c>
      <c r="AW115">
        <f t="shared" si="48"/>
        <v>36000</v>
      </c>
      <c r="AX115" t="e">
        <f t="shared" si="49"/>
        <v>#N/A</v>
      </c>
      <c r="AY115" t="e">
        <f t="shared" si="50"/>
        <v>#N/A</v>
      </c>
      <c r="AZ115">
        <f t="shared" si="51"/>
        <v>36000</v>
      </c>
    </row>
    <row r="116" spans="1:52" x14ac:dyDescent="0.3">
      <c r="A116" t="s">
        <v>112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13.64</v>
      </c>
      <c r="J116">
        <v>23.54</v>
      </c>
      <c r="K116">
        <v>2600</v>
      </c>
      <c r="L116">
        <v>943.94</v>
      </c>
      <c r="M116">
        <v>2293.16</v>
      </c>
      <c r="N116">
        <v>2505.17</v>
      </c>
      <c r="O116">
        <f t="shared" si="28"/>
        <v>13.64</v>
      </c>
      <c r="P116">
        <f t="shared" si="29"/>
        <v>23.54</v>
      </c>
      <c r="Q116">
        <f t="shared" si="30"/>
        <v>2600</v>
      </c>
      <c r="R116">
        <f t="shared" si="31"/>
        <v>943.94</v>
      </c>
      <c r="S116">
        <f t="shared" si="32"/>
        <v>2293.16</v>
      </c>
      <c r="T116">
        <f t="shared" si="33"/>
        <v>2505.17</v>
      </c>
      <c r="V116">
        <v>1</v>
      </c>
      <c r="W116">
        <v>1</v>
      </c>
      <c r="X116">
        <v>-1</v>
      </c>
      <c r="Y116">
        <v>1</v>
      </c>
      <c r="Z116">
        <v>0</v>
      </c>
      <c r="AA116">
        <v>-1</v>
      </c>
      <c r="AB116">
        <v>29.38</v>
      </c>
      <c r="AC116">
        <v>52.41</v>
      </c>
      <c r="AD116">
        <v>23979.69</v>
      </c>
      <c r="AE116">
        <v>12416.78</v>
      </c>
      <c r="AF116">
        <v>36000</v>
      </c>
      <c r="AG116">
        <v>23586.46</v>
      </c>
      <c r="AH116">
        <f t="shared" si="34"/>
        <v>29.38</v>
      </c>
      <c r="AI116">
        <f t="shared" si="35"/>
        <v>52.41</v>
      </c>
      <c r="AJ116" t="e">
        <f t="shared" si="36"/>
        <v>#N/A</v>
      </c>
      <c r="AK116">
        <f t="shared" si="37"/>
        <v>12416.78</v>
      </c>
      <c r="AL116">
        <f t="shared" si="38"/>
        <v>36000</v>
      </c>
      <c r="AM116" t="e">
        <f t="shared" si="39"/>
        <v>#N/A</v>
      </c>
      <c r="AO116">
        <f t="shared" si="40"/>
        <v>13.64</v>
      </c>
      <c r="AP116">
        <f t="shared" si="41"/>
        <v>23.54</v>
      </c>
      <c r="AQ116" t="e">
        <f t="shared" si="42"/>
        <v>#N/A</v>
      </c>
      <c r="AR116">
        <f t="shared" si="43"/>
        <v>943.94</v>
      </c>
      <c r="AS116">
        <f t="shared" si="44"/>
        <v>2293.16</v>
      </c>
      <c r="AT116" t="e">
        <f t="shared" si="45"/>
        <v>#N/A</v>
      </c>
      <c r="AU116">
        <f t="shared" si="46"/>
        <v>29.38</v>
      </c>
      <c r="AV116">
        <f t="shared" si="47"/>
        <v>52.41</v>
      </c>
      <c r="AW116" t="e">
        <f t="shared" si="48"/>
        <v>#N/A</v>
      </c>
      <c r="AX116">
        <f t="shared" si="49"/>
        <v>12416.78</v>
      </c>
      <c r="AY116">
        <f t="shared" si="50"/>
        <v>36000</v>
      </c>
      <c r="AZ116" t="e">
        <f t="shared" si="51"/>
        <v>#N/A</v>
      </c>
    </row>
    <row r="117" spans="1:52" x14ac:dyDescent="0.3">
      <c r="A117" t="s">
        <v>113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1.03</v>
      </c>
      <c r="J117">
        <v>2.67</v>
      </c>
      <c r="K117">
        <v>76.930000000000007</v>
      </c>
      <c r="L117">
        <v>135.25</v>
      </c>
      <c r="M117">
        <v>68.900000000000006</v>
      </c>
      <c r="N117">
        <v>76.75</v>
      </c>
      <c r="O117">
        <f t="shared" si="28"/>
        <v>1.03</v>
      </c>
      <c r="P117">
        <f t="shared" si="29"/>
        <v>2.67</v>
      </c>
      <c r="Q117">
        <f t="shared" si="30"/>
        <v>76.930000000000007</v>
      </c>
      <c r="R117">
        <f t="shared" si="31"/>
        <v>135.25</v>
      </c>
      <c r="S117">
        <f t="shared" si="32"/>
        <v>68.900000000000006</v>
      </c>
      <c r="T117">
        <f t="shared" si="33"/>
        <v>76.75</v>
      </c>
      <c r="V117">
        <v>1</v>
      </c>
      <c r="W117">
        <v>1</v>
      </c>
      <c r="X117">
        <v>1</v>
      </c>
      <c r="Y117">
        <v>-1</v>
      </c>
      <c r="Z117">
        <v>1</v>
      </c>
      <c r="AA117">
        <v>1</v>
      </c>
      <c r="AB117">
        <v>1.62</v>
      </c>
      <c r="AC117">
        <v>1.43</v>
      </c>
      <c r="AD117">
        <v>631.72</v>
      </c>
      <c r="AE117">
        <v>1276.55</v>
      </c>
      <c r="AF117">
        <v>1826.72</v>
      </c>
      <c r="AG117">
        <v>723.43</v>
      </c>
      <c r="AH117">
        <f t="shared" si="34"/>
        <v>1.62</v>
      </c>
      <c r="AI117">
        <f t="shared" si="35"/>
        <v>1.43</v>
      </c>
      <c r="AJ117">
        <f t="shared" si="36"/>
        <v>631.72</v>
      </c>
      <c r="AK117" t="e">
        <f t="shared" si="37"/>
        <v>#N/A</v>
      </c>
      <c r="AL117">
        <f t="shared" si="38"/>
        <v>1826.72</v>
      </c>
      <c r="AM117">
        <f t="shared" si="39"/>
        <v>723.43</v>
      </c>
      <c r="AO117">
        <f t="shared" si="40"/>
        <v>1.03</v>
      </c>
      <c r="AP117">
        <f t="shared" si="41"/>
        <v>2.67</v>
      </c>
      <c r="AQ117">
        <f t="shared" si="42"/>
        <v>76.930000000000007</v>
      </c>
      <c r="AR117" t="e">
        <f t="shared" si="43"/>
        <v>#N/A</v>
      </c>
      <c r="AS117">
        <f t="shared" si="44"/>
        <v>68.900000000000006</v>
      </c>
      <c r="AT117">
        <f t="shared" si="45"/>
        <v>76.75</v>
      </c>
      <c r="AU117">
        <f t="shared" si="46"/>
        <v>1.62</v>
      </c>
      <c r="AV117">
        <f t="shared" si="47"/>
        <v>1.43</v>
      </c>
      <c r="AW117">
        <f t="shared" si="48"/>
        <v>631.72</v>
      </c>
      <c r="AX117" t="e">
        <f t="shared" si="49"/>
        <v>#N/A</v>
      </c>
      <c r="AY117">
        <f t="shared" si="50"/>
        <v>1826.72</v>
      </c>
      <c r="AZ117">
        <f t="shared" si="51"/>
        <v>723.43</v>
      </c>
    </row>
    <row r="118" spans="1:52" x14ac:dyDescent="0.3">
      <c r="A118" t="s">
        <v>114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0.97</v>
      </c>
      <c r="J118">
        <v>1.25</v>
      </c>
      <c r="K118">
        <v>105.53</v>
      </c>
      <c r="L118">
        <v>161.72999999999999</v>
      </c>
      <c r="M118">
        <v>122.21</v>
      </c>
      <c r="N118">
        <v>98.54</v>
      </c>
      <c r="O118">
        <f t="shared" si="28"/>
        <v>0.97</v>
      </c>
      <c r="P118">
        <f t="shared" si="29"/>
        <v>1.25</v>
      </c>
      <c r="Q118">
        <f t="shared" si="30"/>
        <v>105.53</v>
      </c>
      <c r="R118">
        <f t="shared" si="31"/>
        <v>161.72999999999999</v>
      </c>
      <c r="S118">
        <f t="shared" si="32"/>
        <v>122.21</v>
      </c>
      <c r="T118">
        <f t="shared" si="33"/>
        <v>98.54</v>
      </c>
      <c r="V118">
        <v>1</v>
      </c>
      <c r="W118">
        <v>1</v>
      </c>
      <c r="X118">
        <v>1</v>
      </c>
      <c r="Y118">
        <v>-1</v>
      </c>
      <c r="Z118">
        <v>1</v>
      </c>
      <c r="AA118">
        <v>1</v>
      </c>
      <c r="AB118">
        <v>1.8</v>
      </c>
      <c r="AC118">
        <v>1.3</v>
      </c>
      <c r="AD118">
        <v>728.04</v>
      </c>
      <c r="AE118">
        <v>51.45</v>
      </c>
      <c r="AF118">
        <v>2431.5700000000002</v>
      </c>
      <c r="AG118">
        <v>825.05</v>
      </c>
      <c r="AH118">
        <f t="shared" si="34"/>
        <v>1.8</v>
      </c>
      <c r="AI118">
        <f t="shared" si="35"/>
        <v>1.3</v>
      </c>
      <c r="AJ118">
        <f t="shared" si="36"/>
        <v>728.04</v>
      </c>
      <c r="AK118" t="e">
        <f t="shared" si="37"/>
        <v>#N/A</v>
      </c>
      <c r="AL118">
        <f t="shared" si="38"/>
        <v>2431.5700000000002</v>
      </c>
      <c r="AM118">
        <f t="shared" si="39"/>
        <v>825.05</v>
      </c>
      <c r="AO118">
        <f t="shared" si="40"/>
        <v>0.97</v>
      </c>
      <c r="AP118">
        <f t="shared" si="41"/>
        <v>1.25</v>
      </c>
      <c r="AQ118">
        <f t="shared" si="42"/>
        <v>105.53</v>
      </c>
      <c r="AR118" t="e">
        <f t="shared" si="43"/>
        <v>#N/A</v>
      </c>
      <c r="AS118">
        <f t="shared" si="44"/>
        <v>122.21</v>
      </c>
      <c r="AT118">
        <f t="shared" si="45"/>
        <v>98.54</v>
      </c>
      <c r="AU118">
        <f t="shared" si="46"/>
        <v>1.8</v>
      </c>
      <c r="AV118">
        <f t="shared" si="47"/>
        <v>1.3</v>
      </c>
      <c r="AW118">
        <f t="shared" si="48"/>
        <v>728.04</v>
      </c>
      <c r="AX118" t="e">
        <f t="shared" si="49"/>
        <v>#N/A</v>
      </c>
      <c r="AY118">
        <f t="shared" si="50"/>
        <v>2431.5700000000002</v>
      </c>
      <c r="AZ118">
        <f t="shared" si="51"/>
        <v>825.05</v>
      </c>
    </row>
    <row r="119" spans="1:52" x14ac:dyDescent="0.3">
      <c r="A119" t="s">
        <v>115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0.99</v>
      </c>
      <c r="J119">
        <v>0.99</v>
      </c>
      <c r="K119">
        <v>113.38</v>
      </c>
      <c r="L119">
        <v>103.93</v>
      </c>
      <c r="M119">
        <v>86.17</v>
      </c>
      <c r="N119">
        <v>96.11</v>
      </c>
      <c r="O119">
        <f t="shared" si="28"/>
        <v>0.99</v>
      </c>
      <c r="P119">
        <f t="shared" si="29"/>
        <v>0.99</v>
      </c>
      <c r="Q119">
        <f t="shared" si="30"/>
        <v>113.38</v>
      </c>
      <c r="R119">
        <f t="shared" si="31"/>
        <v>103.93</v>
      </c>
      <c r="S119">
        <f t="shared" si="32"/>
        <v>86.17</v>
      </c>
      <c r="T119">
        <f t="shared" si="33"/>
        <v>96.11</v>
      </c>
      <c r="V119">
        <v>1</v>
      </c>
      <c r="W119">
        <v>1</v>
      </c>
      <c r="X119">
        <v>1</v>
      </c>
      <c r="Y119">
        <v>-1</v>
      </c>
      <c r="Z119">
        <v>1</v>
      </c>
      <c r="AA119">
        <v>1</v>
      </c>
      <c r="AB119">
        <v>1.23</v>
      </c>
      <c r="AC119">
        <v>0.96</v>
      </c>
      <c r="AD119">
        <v>552.79999999999995</v>
      </c>
      <c r="AE119">
        <v>49.08</v>
      </c>
      <c r="AF119">
        <v>2221.9299999999998</v>
      </c>
      <c r="AG119">
        <v>574.74</v>
      </c>
      <c r="AH119">
        <f t="shared" si="34"/>
        <v>1.23</v>
      </c>
      <c r="AI119">
        <f t="shared" si="35"/>
        <v>0.96</v>
      </c>
      <c r="AJ119">
        <f t="shared" si="36"/>
        <v>552.79999999999995</v>
      </c>
      <c r="AK119" t="e">
        <f t="shared" si="37"/>
        <v>#N/A</v>
      </c>
      <c r="AL119">
        <f t="shared" si="38"/>
        <v>2221.9299999999998</v>
      </c>
      <c r="AM119">
        <f t="shared" si="39"/>
        <v>574.74</v>
      </c>
      <c r="AO119">
        <f t="shared" si="40"/>
        <v>0.99</v>
      </c>
      <c r="AP119">
        <f t="shared" si="41"/>
        <v>0.99</v>
      </c>
      <c r="AQ119">
        <f t="shared" si="42"/>
        <v>113.38</v>
      </c>
      <c r="AR119" t="e">
        <f t="shared" si="43"/>
        <v>#N/A</v>
      </c>
      <c r="AS119">
        <f t="shared" si="44"/>
        <v>86.17</v>
      </c>
      <c r="AT119">
        <f t="shared" si="45"/>
        <v>96.11</v>
      </c>
      <c r="AU119">
        <f t="shared" si="46"/>
        <v>1.23</v>
      </c>
      <c r="AV119">
        <f t="shared" si="47"/>
        <v>0.96</v>
      </c>
      <c r="AW119">
        <f t="shared" si="48"/>
        <v>552.79999999999995</v>
      </c>
      <c r="AX119" t="e">
        <f t="shared" si="49"/>
        <v>#N/A</v>
      </c>
      <c r="AY119">
        <f t="shared" si="50"/>
        <v>2221.9299999999998</v>
      </c>
      <c r="AZ119">
        <f t="shared" si="51"/>
        <v>574.74</v>
      </c>
    </row>
    <row r="120" spans="1:52" x14ac:dyDescent="0.3">
      <c r="A120" t="s">
        <v>116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1.34</v>
      </c>
      <c r="J120">
        <v>0.25</v>
      </c>
      <c r="K120">
        <v>3275.66</v>
      </c>
      <c r="L120">
        <v>3743.71</v>
      </c>
      <c r="M120">
        <v>1686.34</v>
      </c>
      <c r="N120">
        <v>2677.02</v>
      </c>
      <c r="O120">
        <f t="shared" si="28"/>
        <v>1.34</v>
      </c>
      <c r="P120">
        <f t="shared" si="29"/>
        <v>0.25</v>
      </c>
      <c r="Q120">
        <f t="shared" si="30"/>
        <v>3275.66</v>
      </c>
      <c r="R120">
        <f t="shared" si="31"/>
        <v>3743.71</v>
      </c>
      <c r="S120">
        <f t="shared" si="32"/>
        <v>1686.34</v>
      </c>
      <c r="T120">
        <f t="shared" si="33"/>
        <v>2677.02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1.07</v>
      </c>
      <c r="AC120">
        <v>0.28000000000000003</v>
      </c>
      <c r="AD120">
        <v>759.93</v>
      </c>
      <c r="AE120">
        <v>993.46</v>
      </c>
      <c r="AF120">
        <v>1591.91</v>
      </c>
      <c r="AG120">
        <v>1626.56</v>
      </c>
      <c r="AH120">
        <f t="shared" si="34"/>
        <v>1.07</v>
      </c>
      <c r="AI120">
        <f t="shared" si="35"/>
        <v>0.28000000000000003</v>
      </c>
      <c r="AJ120">
        <f t="shared" si="36"/>
        <v>759.93</v>
      </c>
      <c r="AK120">
        <f t="shared" si="37"/>
        <v>993.46</v>
      </c>
      <c r="AL120">
        <f t="shared" si="38"/>
        <v>1591.91</v>
      </c>
      <c r="AM120">
        <f t="shared" si="39"/>
        <v>1626.56</v>
      </c>
      <c r="AO120">
        <f t="shared" si="40"/>
        <v>1.34</v>
      </c>
      <c r="AP120">
        <f t="shared" si="41"/>
        <v>0.25</v>
      </c>
      <c r="AQ120">
        <f t="shared" si="42"/>
        <v>3275.66</v>
      </c>
      <c r="AR120">
        <f t="shared" si="43"/>
        <v>3743.71</v>
      </c>
      <c r="AS120">
        <f t="shared" si="44"/>
        <v>1686.34</v>
      </c>
      <c r="AT120">
        <f t="shared" si="45"/>
        <v>2677.02</v>
      </c>
      <c r="AU120">
        <f t="shared" si="46"/>
        <v>1.07</v>
      </c>
      <c r="AV120">
        <f t="shared" si="47"/>
        <v>0.28000000000000003</v>
      </c>
      <c r="AW120">
        <f t="shared" si="48"/>
        <v>759.93</v>
      </c>
      <c r="AX120">
        <f t="shared" si="49"/>
        <v>993.46</v>
      </c>
      <c r="AY120">
        <f t="shared" si="50"/>
        <v>1591.91</v>
      </c>
      <c r="AZ120">
        <f t="shared" si="51"/>
        <v>1626.56</v>
      </c>
    </row>
    <row r="121" spans="1:52" x14ac:dyDescent="0.3">
      <c r="A121" t="s">
        <v>117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137.4</v>
      </c>
      <c r="J121">
        <v>12.7</v>
      </c>
      <c r="K121">
        <v>36000</v>
      </c>
      <c r="L121">
        <v>36000</v>
      </c>
      <c r="M121">
        <v>36000</v>
      </c>
      <c r="N121">
        <v>36000</v>
      </c>
      <c r="O121">
        <f t="shared" si="28"/>
        <v>137.4</v>
      </c>
      <c r="P121">
        <f t="shared" si="29"/>
        <v>12.7</v>
      </c>
      <c r="Q121">
        <f t="shared" si="30"/>
        <v>36000</v>
      </c>
      <c r="R121">
        <f t="shared" si="31"/>
        <v>36000</v>
      </c>
      <c r="S121">
        <f t="shared" si="32"/>
        <v>36000</v>
      </c>
      <c r="T121">
        <f t="shared" si="33"/>
        <v>36000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110.42</v>
      </c>
      <c r="AC121">
        <v>23.1</v>
      </c>
      <c r="AD121">
        <v>36000</v>
      </c>
      <c r="AE121">
        <v>36000</v>
      </c>
      <c r="AF121">
        <v>36000</v>
      </c>
      <c r="AG121">
        <v>36000</v>
      </c>
      <c r="AH121">
        <f t="shared" si="34"/>
        <v>110.42</v>
      </c>
      <c r="AI121">
        <f t="shared" si="35"/>
        <v>23.1</v>
      </c>
      <c r="AJ121">
        <f t="shared" si="36"/>
        <v>36000</v>
      </c>
      <c r="AK121">
        <f t="shared" si="37"/>
        <v>36000</v>
      </c>
      <c r="AL121">
        <f t="shared" si="38"/>
        <v>36000</v>
      </c>
      <c r="AM121">
        <f t="shared" si="39"/>
        <v>36000</v>
      </c>
      <c r="AO121">
        <f t="shared" si="40"/>
        <v>137.4</v>
      </c>
      <c r="AP121">
        <f t="shared" si="41"/>
        <v>12.7</v>
      </c>
      <c r="AQ121" t="e">
        <f t="shared" si="42"/>
        <v>#N/A</v>
      </c>
      <c r="AR121" t="e">
        <f t="shared" si="43"/>
        <v>#N/A</v>
      </c>
      <c r="AS121" t="e">
        <f t="shared" si="44"/>
        <v>#N/A</v>
      </c>
      <c r="AT121" t="e">
        <f t="shared" si="45"/>
        <v>#N/A</v>
      </c>
      <c r="AU121">
        <f t="shared" si="46"/>
        <v>110.42</v>
      </c>
      <c r="AV121">
        <f t="shared" si="47"/>
        <v>23.1</v>
      </c>
      <c r="AW121" t="e">
        <f t="shared" si="48"/>
        <v>#N/A</v>
      </c>
      <c r="AX121" t="e">
        <f t="shared" si="49"/>
        <v>#N/A</v>
      </c>
      <c r="AY121" t="e">
        <f t="shared" si="50"/>
        <v>#N/A</v>
      </c>
      <c r="AZ121" t="e">
        <f t="shared" si="51"/>
        <v>#N/A</v>
      </c>
    </row>
    <row r="122" spans="1:52" x14ac:dyDescent="0.3">
      <c r="A122" t="s">
        <v>118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273.76</v>
      </c>
      <c r="J122">
        <v>24.79</v>
      </c>
      <c r="K122">
        <v>36000</v>
      </c>
      <c r="L122">
        <v>36000</v>
      </c>
      <c r="M122">
        <v>36000</v>
      </c>
      <c r="N122">
        <v>36000</v>
      </c>
      <c r="O122">
        <f t="shared" si="28"/>
        <v>273.76</v>
      </c>
      <c r="P122">
        <f t="shared" si="29"/>
        <v>24.79</v>
      </c>
      <c r="Q122">
        <f t="shared" si="30"/>
        <v>36000</v>
      </c>
      <c r="R122">
        <f t="shared" si="31"/>
        <v>36000</v>
      </c>
      <c r="S122">
        <f t="shared" si="32"/>
        <v>36000</v>
      </c>
      <c r="T122">
        <f t="shared" si="33"/>
        <v>36000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348.04</v>
      </c>
      <c r="AC122">
        <v>43.15</v>
      </c>
      <c r="AD122">
        <v>36000</v>
      </c>
      <c r="AE122">
        <v>36000</v>
      </c>
      <c r="AF122">
        <v>36000</v>
      </c>
      <c r="AG122">
        <v>36000</v>
      </c>
      <c r="AH122">
        <f t="shared" si="34"/>
        <v>348.04</v>
      </c>
      <c r="AI122">
        <f t="shared" si="35"/>
        <v>43.15</v>
      </c>
      <c r="AJ122">
        <f t="shared" si="36"/>
        <v>36000</v>
      </c>
      <c r="AK122">
        <f t="shared" si="37"/>
        <v>36000</v>
      </c>
      <c r="AL122">
        <f t="shared" si="38"/>
        <v>36000</v>
      </c>
      <c r="AM122">
        <f t="shared" si="39"/>
        <v>36000</v>
      </c>
      <c r="AO122">
        <f t="shared" si="40"/>
        <v>273.76</v>
      </c>
      <c r="AP122">
        <f t="shared" si="41"/>
        <v>24.79</v>
      </c>
      <c r="AQ122" t="e">
        <f t="shared" si="42"/>
        <v>#N/A</v>
      </c>
      <c r="AR122" t="e">
        <f t="shared" si="43"/>
        <v>#N/A</v>
      </c>
      <c r="AS122" t="e">
        <f t="shared" si="44"/>
        <v>#N/A</v>
      </c>
      <c r="AT122" t="e">
        <f t="shared" si="45"/>
        <v>#N/A</v>
      </c>
      <c r="AU122">
        <f t="shared" si="46"/>
        <v>348.04</v>
      </c>
      <c r="AV122">
        <f t="shared" si="47"/>
        <v>43.15</v>
      </c>
      <c r="AW122" t="e">
        <f t="shared" si="48"/>
        <v>#N/A</v>
      </c>
      <c r="AX122" t="e">
        <f t="shared" si="49"/>
        <v>#N/A</v>
      </c>
      <c r="AY122" t="e">
        <f t="shared" si="50"/>
        <v>#N/A</v>
      </c>
      <c r="AZ122" t="e">
        <f t="shared" si="51"/>
        <v>#N/A</v>
      </c>
    </row>
    <row r="123" spans="1:52" x14ac:dyDescent="0.3">
      <c r="A123" t="s">
        <v>119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5.46</v>
      </c>
      <c r="J123">
        <v>3.93</v>
      </c>
      <c r="K123">
        <v>36000</v>
      </c>
      <c r="L123">
        <v>36000</v>
      </c>
      <c r="M123">
        <v>36000</v>
      </c>
      <c r="N123">
        <v>36000</v>
      </c>
      <c r="O123">
        <f t="shared" si="28"/>
        <v>5.46</v>
      </c>
      <c r="P123">
        <f t="shared" si="29"/>
        <v>3.93</v>
      </c>
      <c r="Q123">
        <f t="shared" si="30"/>
        <v>36000</v>
      </c>
      <c r="R123">
        <f t="shared" si="31"/>
        <v>36000</v>
      </c>
      <c r="S123">
        <f t="shared" si="32"/>
        <v>36000</v>
      </c>
      <c r="T123">
        <f t="shared" si="33"/>
        <v>36000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4.43</v>
      </c>
      <c r="AC123">
        <v>2.95</v>
      </c>
      <c r="AD123">
        <v>36000</v>
      </c>
      <c r="AE123">
        <v>36000</v>
      </c>
      <c r="AF123">
        <v>36000</v>
      </c>
      <c r="AG123">
        <v>36000</v>
      </c>
      <c r="AH123">
        <f t="shared" si="34"/>
        <v>4.43</v>
      </c>
      <c r="AI123">
        <f t="shared" si="35"/>
        <v>2.95</v>
      </c>
      <c r="AJ123">
        <f t="shared" si="36"/>
        <v>36000</v>
      </c>
      <c r="AK123">
        <f t="shared" si="37"/>
        <v>36000</v>
      </c>
      <c r="AL123">
        <f t="shared" si="38"/>
        <v>36000</v>
      </c>
      <c r="AM123">
        <f t="shared" si="39"/>
        <v>36000</v>
      </c>
      <c r="AO123">
        <f t="shared" si="40"/>
        <v>5.46</v>
      </c>
      <c r="AP123">
        <f t="shared" si="41"/>
        <v>3.93</v>
      </c>
      <c r="AQ123" t="e">
        <f t="shared" si="42"/>
        <v>#N/A</v>
      </c>
      <c r="AR123" t="e">
        <f t="shared" si="43"/>
        <v>#N/A</v>
      </c>
      <c r="AS123" t="e">
        <f t="shared" si="44"/>
        <v>#N/A</v>
      </c>
      <c r="AT123" t="e">
        <f t="shared" si="45"/>
        <v>#N/A</v>
      </c>
      <c r="AU123">
        <f t="shared" si="46"/>
        <v>4.43</v>
      </c>
      <c r="AV123">
        <f t="shared" si="47"/>
        <v>2.95</v>
      </c>
      <c r="AW123" t="e">
        <f t="shared" si="48"/>
        <v>#N/A</v>
      </c>
      <c r="AX123" t="e">
        <f t="shared" si="49"/>
        <v>#N/A</v>
      </c>
      <c r="AY123" t="e">
        <f t="shared" si="50"/>
        <v>#N/A</v>
      </c>
      <c r="AZ123" t="e">
        <f t="shared" si="51"/>
        <v>#N/A</v>
      </c>
    </row>
    <row r="124" spans="1:52" x14ac:dyDescent="0.3">
      <c r="A124" t="s">
        <v>120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170.81</v>
      </c>
      <c r="J124">
        <v>92.66</v>
      </c>
      <c r="K124">
        <v>36000</v>
      </c>
      <c r="L124">
        <v>36000</v>
      </c>
      <c r="M124">
        <v>36000</v>
      </c>
      <c r="N124">
        <v>36000</v>
      </c>
      <c r="O124">
        <f t="shared" si="28"/>
        <v>170.81</v>
      </c>
      <c r="P124">
        <f t="shared" si="29"/>
        <v>92.66</v>
      </c>
      <c r="Q124">
        <f t="shared" si="30"/>
        <v>36000</v>
      </c>
      <c r="R124">
        <f t="shared" si="31"/>
        <v>36000</v>
      </c>
      <c r="S124">
        <f t="shared" si="32"/>
        <v>36000</v>
      </c>
      <c r="T124">
        <f t="shared" si="33"/>
        <v>36000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229.25</v>
      </c>
      <c r="AC124">
        <v>83.23</v>
      </c>
      <c r="AD124">
        <v>36000</v>
      </c>
      <c r="AE124">
        <v>36000</v>
      </c>
      <c r="AF124">
        <v>36000</v>
      </c>
      <c r="AG124">
        <v>36000</v>
      </c>
      <c r="AH124">
        <f t="shared" si="34"/>
        <v>229.25</v>
      </c>
      <c r="AI124">
        <f t="shared" si="35"/>
        <v>83.23</v>
      </c>
      <c r="AJ124">
        <f t="shared" si="36"/>
        <v>36000</v>
      </c>
      <c r="AK124">
        <f t="shared" si="37"/>
        <v>36000</v>
      </c>
      <c r="AL124">
        <f t="shared" si="38"/>
        <v>36000</v>
      </c>
      <c r="AM124">
        <f t="shared" si="39"/>
        <v>36000</v>
      </c>
      <c r="AO124">
        <f t="shared" si="40"/>
        <v>170.81</v>
      </c>
      <c r="AP124">
        <f t="shared" si="41"/>
        <v>92.66</v>
      </c>
      <c r="AQ124" t="e">
        <f t="shared" si="42"/>
        <v>#N/A</v>
      </c>
      <c r="AR124" t="e">
        <f t="shared" si="43"/>
        <v>#N/A</v>
      </c>
      <c r="AS124" t="e">
        <f t="shared" si="44"/>
        <v>#N/A</v>
      </c>
      <c r="AT124" t="e">
        <f t="shared" si="45"/>
        <v>#N/A</v>
      </c>
      <c r="AU124">
        <f t="shared" si="46"/>
        <v>229.25</v>
      </c>
      <c r="AV124">
        <f t="shared" si="47"/>
        <v>83.23</v>
      </c>
      <c r="AW124" t="e">
        <f t="shared" si="48"/>
        <v>#N/A</v>
      </c>
      <c r="AX124" t="e">
        <f t="shared" si="49"/>
        <v>#N/A</v>
      </c>
      <c r="AY124" t="e">
        <f t="shared" si="50"/>
        <v>#N/A</v>
      </c>
      <c r="AZ124" t="e">
        <f t="shared" si="51"/>
        <v>#N/A</v>
      </c>
    </row>
    <row r="125" spans="1:52" x14ac:dyDescent="0.3">
      <c r="A125" t="s">
        <v>121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950.95</v>
      </c>
      <c r="J125">
        <v>310.41000000000003</v>
      </c>
      <c r="K125">
        <v>36000</v>
      </c>
      <c r="L125">
        <v>36000</v>
      </c>
      <c r="M125">
        <v>36000</v>
      </c>
      <c r="N125">
        <v>36000</v>
      </c>
      <c r="O125">
        <f t="shared" si="28"/>
        <v>950.95</v>
      </c>
      <c r="P125">
        <f t="shared" si="29"/>
        <v>310.41000000000003</v>
      </c>
      <c r="Q125">
        <f t="shared" si="30"/>
        <v>36000</v>
      </c>
      <c r="R125">
        <f t="shared" si="31"/>
        <v>36000</v>
      </c>
      <c r="S125">
        <f t="shared" si="32"/>
        <v>36000</v>
      </c>
      <c r="T125">
        <f t="shared" si="33"/>
        <v>36000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982.55</v>
      </c>
      <c r="AC125">
        <v>381.55</v>
      </c>
      <c r="AD125">
        <v>36000</v>
      </c>
      <c r="AE125">
        <v>36000</v>
      </c>
      <c r="AF125">
        <v>36000</v>
      </c>
      <c r="AG125">
        <v>36000</v>
      </c>
      <c r="AH125">
        <f t="shared" si="34"/>
        <v>982.55</v>
      </c>
      <c r="AI125">
        <f t="shared" si="35"/>
        <v>381.55</v>
      </c>
      <c r="AJ125">
        <f t="shared" si="36"/>
        <v>36000</v>
      </c>
      <c r="AK125">
        <f t="shared" si="37"/>
        <v>36000</v>
      </c>
      <c r="AL125">
        <f t="shared" si="38"/>
        <v>36000</v>
      </c>
      <c r="AM125">
        <f t="shared" si="39"/>
        <v>36000</v>
      </c>
      <c r="AO125">
        <f t="shared" si="40"/>
        <v>950.95</v>
      </c>
      <c r="AP125">
        <f t="shared" si="41"/>
        <v>310.41000000000003</v>
      </c>
      <c r="AQ125" t="e">
        <f t="shared" si="42"/>
        <v>#N/A</v>
      </c>
      <c r="AR125" t="e">
        <f t="shared" si="43"/>
        <v>#N/A</v>
      </c>
      <c r="AS125" t="e">
        <f t="shared" si="44"/>
        <v>#N/A</v>
      </c>
      <c r="AT125" t="e">
        <f t="shared" si="45"/>
        <v>#N/A</v>
      </c>
      <c r="AU125">
        <f t="shared" si="46"/>
        <v>982.55</v>
      </c>
      <c r="AV125">
        <f t="shared" si="47"/>
        <v>381.55</v>
      </c>
      <c r="AW125" t="e">
        <f t="shared" si="48"/>
        <v>#N/A</v>
      </c>
      <c r="AX125" t="e">
        <f t="shared" si="49"/>
        <v>#N/A</v>
      </c>
      <c r="AY125" t="e">
        <f t="shared" si="50"/>
        <v>#N/A</v>
      </c>
      <c r="AZ125" t="e">
        <f t="shared" si="51"/>
        <v>#N/A</v>
      </c>
    </row>
    <row r="126" spans="1:52" x14ac:dyDescent="0.3">
      <c r="A126" t="s">
        <v>122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108.79</v>
      </c>
      <c r="J126">
        <v>164.13</v>
      </c>
      <c r="K126">
        <v>36000</v>
      </c>
      <c r="L126">
        <v>36000</v>
      </c>
      <c r="M126">
        <v>36000</v>
      </c>
      <c r="N126">
        <v>36000</v>
      </c>
      <c r="O126">
        <f t="shared" si="28"/>
        <v>108.79</v>
      </c>
      <c r="P126">
        <f t="shared" si="29"/>
        <v>164.13</v>
      </c>
      <c r="Q126">
        <f t="shared" si="30"/>
        <v>36000</v>
      </c>
      <c r="R126">
        <f t="shared" si="31"/>
        <v>36000</v>
      </c>
      <c r="S126">
        <f t="shared" si="32"/>
        <v>36000</v>
      </c>
      <c r="T126">
        <f t="shared" si="33"/>
        <v>36000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157.28</v>
      </c>
      <c r="AC126">
        <v>161.63</v>
      </c>
      <c r="AD126">
        <v>36000</v>
      </c>
      <c r="AE126">
        <v>36000</v>
      </c>
      <c r="AF126">
        <v>36000</v>
      </c>
      <c r="AG126">
        <v>36000</v>
      </c>
      <c r="AH126">
        <f t="shared" si="34"/>
        <v>157.28</v>
      </c>
      <c r="AI126">
        <f t="shared" si="35"/>
        <v>161.63</v>
      </c>
      <c r="AJ126">
        <f t="shared" si="36"/>
        <v>36000</v>
      </c>
      <c r="AK126">
        <f t="shared" si="37"/>
        <v>36000</v>
      </c>
      <c r="AL126">
        <f t="shared" si="38"/>
        <v>36000</v>
      </c>
      <c r="AM126">
        <f t="shared" si="39"/>
        <v>36000</v>
      </c>
      <c r="AO126">
        <f t="shared" si="40"/>
        <v>108.79</v>
      </c>
      <c r="AP126">
        <f t="shared" si="41"/>
        <v>164.13</v>
      </c>
      <c r="AQ126" t="e">
        <f t="shared" si="42"/>
        <v>#N/A</v>
      </c>
      <c r="AR126" t="e">
        <f t="shared" si="43"/>
        <v>#N/A</v>
      </c>
      <c r="AS126" t="e">
        <f t="shared" si="44"/>
        <v>#N/A</v>
      </c>
      <c r="AT126" t="e">
        <f t="shared" si="45"/>
        <v>#N/A</v>
      </c>
      <c r="AU126">
        <f t="shared" si="46"/>
        <v>157.28</v>
      </c>
      <c r="AV126">
        <f t="shared" si="47"/>
        <v>161.63</v>
      </c>
      <c r="AW126" t="e">
        <f t="shared" si="48"/>
        <v>#N/A</v>
      </c>
      <c r="AX126" t="e">
        <f t="shared" si="49"/>
        <v>#N/A</v>
      </c>
      <c r="AY126" t="e">
        <f t="shared" si="50"/>
        <v>#N/A</v>
      </c>
      <c r="AZ126" t="e">
        <f t="shared" si="51"/>
        <v>#N/A</v>
      </c>
    </row>
    <row r="127" spans="1:52" x14ac:dyDescent="0.3">
      <c r="A127" t="s">
        <v>123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732.87</v>
      </c>
      <c r="J127">
        <v>762.37</v>
      </c>
      <c r="K127">
        <v>36000</v>
      </c>
      <c r="L127">
        <v>36000</v>
      </c>
      <c r="M127">
        <v>36000</v>
      </c>
      <c r="N127">
        <v>36000</v>
      </c>
      <c r="O127">
        <f t="shared" si="28"/>
        <v>732.87</v>
      </c>
      <c r="P127">
        <f t="shared" si="29"/>
        <v>762.37</v>
      </c>
      <c r="Q127">
        <f t="shared" si="30"/>
        <v>36000</v>
      </c>
      <c r="R127">
        <f t="shared" si="31"/>
        <v>36000</v>
      </c>
      <c r="S127">
        <f t="shared" si="32"/>
        <v>36000</v>
      </c>
      <c r="T127">
        <f t="shared" si="33"/>
        <v>36000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2477.77</v>
      </c>
      <c r="AC127">
        <v>1259.08</v>
      </c>
      <c r="AD127">
        <v>36000</v>
      </c>
      <c r="AE127">
        <v>36000</v>
      </c>
      <c r="AF127">
        <v>36000</v>
      </c>
      <c r="AG127">
        <v>36000</v>
      </c>
      <c r="AH127">
        <f t="shared" si="34"/>
        <v>2477.77</v>
      </c>
      <c r="AI127">
        <f t="shared" si="35"/>
        <v>1259.08</v>
      </c>
      <c r="AJ127">
        <f t="shared" si="36"/>
        <v>36000</v>
      </c>
      <c r="AK127">
        <f t="shared" si="37"/>
        <v>36000</v>
      </c>
      <c r="AL127">
        <f t="shared" si="38"/>
        <v>36000</v>
      </c>
      <c r="AM127">
        <f t="shared" si="39"/>
        <v>36000</v>
      </c>
      <c r="AO127">
        <f t="shared" si="40"/>
        <v>732.87</v>
      </c>
      <c r="AP127">
        <f t="shared" si="41"/>
        <v>762.37</v>
      </c>
      <c r="AQ127" t="e">
        <f t="shared" si="42"/>
        <v>#N/A</v>
      </c>
      <c r="AR127" t="e">
        <f t="shared" si="43"/>
        <v>#N/A</v>
      </c>
      <c r="AS127" t="e">
        <f t="shared" si="44"/>
        <v>#N/A</v>
      </c>
      <c r="AT127" t="e">
        <f t="shared" si="45"/>
        <v>#N/A</v>
      </c>
      <c r="AU127">
        <f t="shared" si="46"/>
        <v>2477.77</v>
      </c>
      <c r="AV127">
        <f t="shared" si="47"/>
        <v>1259.08</v>
      </c>
      <c r="AW127" t="e">
        <f t="shared" si="48"/>
        <v>#N/A</v>
      </c>
      <c r="AX127" t="e">
        <f t="shared" si="49"/>
        <v>#N/A</v>
      </c>
      <c r="AY127" t="e">
        <f t="shared" si="50"/>
        <v>#N/A</v>
      </c>
      <c r="AZ127" t="e">
        <f t="shared" si="51"/>
        <v>#N/A</v>
      </c>
    </row>
    <row r="128" spans="1:52" x14ac:dyDescent="0.3">
      <c r="A128" t="s">
        <v>124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2625.03</v>
      </c>
      <c r="J128">
        <v>3422.56</v>
      </c>
      <c r="K128">
        <v>36000</v>
      </c>
      <c r="L128">
        <v>36000</v>
      </c>
      <c r="M128">
        <v>36000</v>
      </c>
      <c r="N128">
        <v>36000</v>
      </c>
      <c r="O128">
        <f t="shared" si="28"/>
        <v>2625.03</v>
      </c>
      <c r="P128">
        <f t="shared" si="29"/>
        <v>3422.56</v>
      </c>
      <c r="Q128">
        <f t="shared" si="30"/>
        <v>36000</v>
      </c>
      <c r="R128">
        <f t="shared" si="31"/>
        <v>36000</v>
      </c>
      <c r="S128">
        <f t="shared" si="32"/>
        <v>36000</v>
      </c>
      <c r="T128">
        <f t="shared" si="33"/>
        <v>36000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7087.77</v>
      </c>
      <c r="AC128">
        <v>5490.43</v>
      </c>
      <c r="AD128">
        <v>36000</v>
      </c>
      <c r="AE128">
        <v>36000</v>
      </c>
      <c r="AF128">
        <v>36000</v>
      </c>
      <c r="AG128">
        <v>36000</v>
      </c>
      <c r="AH128">
        <f t="shared" si="34"/>
        <v>7087.77</v>
      </c>
      <c r="AI128">
        <f t="shared" si="35"/>
        <v>5490.43</v>
      </c>
      <c r="AJ128">
        <f t="shared" si="36"/>
        <v>36000</v>
      </c>
      <c r="AK128">
        <f t="shared" si="37"/>
        <v>36000</v>
      </c>
      <c r="AL128">
        <f t="shared" si="38"/>
        <v>36000</v>
      </c>
      <c r="AM128">
        <f t="shared" si="39"/>
        <v>36000</v>
      </c>
      <c r="AO128">
        <f t="shared" si="40"/>
        <v>2625.03</v>
      </c>
      <c r="AP128">
        <f t="shared" si="41"/>
        <v>3422.56</v>
      </c>
      <c r="AQ128" t="e">
        <f t="shared" si="42"/>
        <v>#N/A</v>
      </c>
      <c r="AR128" t="e">
        <f t="shared" si="43"/>
        <v>#N/A</v>
      </c>
      <c r="AS128" t="e">
        <f t="shared" si="44"/>
        <v>#N/A</v>
      </c>
      <c r="AT128" t="e">
        <f t="shared" si="45"/>
        <v>#N/A</v>
      </c>
      <c r="AU128">
        <f t="shared" si="46"/>
        <v>7087.77</v>
      </c>
      <c r="AV128">
        <f t="shared" si="47"/>
        <v>5490.43</v>
      </c>
      <c r="AW128" t="e">
        <f t="shared" si="48"/>
        <v>#N/A</v>
      </c>
      <c r="AX128" t="e">
        <f t="shared" si="49"/>
        <v>#N/A</v>
      </c>
      <c r="AY128" t="e">
        <f t="shared" si="50"/>
        <v>#N/A</v>
      </c>
      <c r="AZ128" t="e">
        <f t="shared" si="51"/>
        <v>#N/A</v>
      </c>
    </row>
    <row r="129" spans="1:52" x14ac:dyDescent="0.3">
      <c r="A129" t="s">
        <v>125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14.66</v>
      </c>
      <c r="J129">
        <v>8.6199999999999992</v>
      </c>
      <c r="K129">
        <v>36000</v>
      </c>
      <c r="L129">
        <v>36000</v>
      </c>
      <c r="M129">
        <v>36000</v>
      </c>
      <c r="N129">
        <v>36000</v>
      </c>
      <c r="O129">
        <f t="shared" si="28"/>
        <v>14.66</v>
      </c>
      <c r="P129">
        <f t="shared" si="29"/>
        <v>8.6199999999999992</v>
      </c>
      <c r="Q129">
        <f t="shared" si="30"/>
        <v>36000</v>
      </c>
      <c r="R129">
        <f t="shared" si="31"/>
        <v>36000</v>
      </c>
      <c r="S129">
        <f t="shared" si="32"/>
        <v>36000</v>
      </c>
      <c r="T129">
        <f t="shared" si="33"/>
        <v>36000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16.82</v>
      </c>
      <c r="AC129">
        <v>6.55</v>
      </c>
      <c r="AD129">
        <v>36000</v>
      </c>
      <c r="AE129">
        <v>36000</v>
      </c>
      <c r="AF129">
        <v>36000</v>
      </c>
      <c r="AG129">
        <v>36000</v>
      </c>
      <c r="AH129">
        <f t="shared" si="34"/>
        <v>16.82</v>
      </c>
      <c r="AI129">
        <f t="shared" si="35"/>
        <v>6.55</v>
      </c>
      <c r="AJ129">
        <f t="shared" si="36"/>
        <v>36000</v>
      </c>
      <c r="AK129">
        <f t="shared" si="37"/>
        <v>36000</v>
      </c>
      <c r="AL129">
        <f t="shared" si="38"/>
        <v>36000</v>
      </c>
      <c r="AM129">
        <f t="shared" si="39"/>
        <v>36000</v>
      </c>
      <c r="AO129">
        <f t="shared" si="40"/>
        <v>14.66</v>
      </c>
      <c r="AP129">
        <f t="shared" si="41"/>
        <v>8.6199999999999992</v>
      </c>
      <c r="AQ129" t="e">
        <f t="shared" si="42"/>
        <v>#N/A</v>
      </c>
      <c r="AR129" t="e">
        <f t="shared" si="43"/>
        <v>#N/A</v>
      </c>
      <c r="AS129" t="e">
        <f t="shared" si="44"/>
        <v>#N/A</v>
      </c>
      <c r="AT129" t="e">
        <f t="shared" si="45"/>
        <v>#N/A</v>
      </c>
      <c r="AU129">
        <f t="shared" si="46"/>
        <v>16.82</v>
      </c>
      <c r="AV129">
        <f t="shared" si="47"/>
        <v>6.55</v>
      </c>
      <c r="AW129" t="e">
        <f t="shared" si="48"/>
        <v>#N/A</v>
      </c>
      <c r="AX129" t="e">
        <f t="shared" si="49"/>
        <v>#N/A</v>
      </c>
      <c r="AY129" t="e">
        <f t="shared" si="50"/>
        <v>#N/A</v>
      </c>
      <c r="AZ129" t="e">
        <f t="shared" si="51"/>
        <v>#N/A</v>
      </c>
    </row>
    <row r="130" spans="1:52" x14ac:dyDescent="0.3">
      <c r="A130" t="s">
        <v>126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3286.11</v>
      </c>
      <c r="J130">
        <v>1199.8499999999999</v>
      </c>
      <c r="K130">
        <v>36000</v>
      </c>
      <c r="L130">
        <v>36000</v>
      </c>
      <c r="M130">
        <v>36000</v>
      </c>
      <c r="N130">
        <v>36000</v>
      </c>
      <c r="O130">
        <f t="shared" si="28"/>
        <v>3286.11</v>
      </c>
      <c r="P130">
        <f t="shared" si="29"/>
        <v>1199.8499999999999</v>
      </c>
      <c r="Q130">
        <f t="shared" si="30"/>
        <v>36000</v>
      </c>
      <c r="R130">
        <f t="shared" si="31"/>
        <v>36000</v>
      </c>
      <c r="S130">
        <f t="shared" si="32"/>
        <v>36000</v>
      </c>
      <c r="T130">
        <f t="shared" si="33"/>
        <v>36000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3309.11</v>
      </c>
      <c r="AC130">
        <v>1754.38</v>
      </c>
      <c r="AD130">
        <v>36000</v>
      </c>
      <c r="AE130">
        <v>36000</v>
      </c>
      <c r="AF130">
        <v>36000</v>
      </c>
      <c r="AG130">
        <v>36000</v>
      </c>
      <c r="AH130">
        <f t="shared" si="34"/>
        <v>3309.11</v>
      </c>
      <c r="AI130">
        <f t="shared" si="35"/>
        <v>1754.38</v>
      </c>
      <c r="AJ130">
        <f t="shared" si="36"/>
        <v>36000</v>
      </c>
      <c r="AK130">
        <f t="shared" si="37"/>
        <v>36000</v>
      </c>
      <c r="AL130">
        <f t="shared" si="38"/>
        <v>36000</v>
      </c>
      <c r="AM130">
        <f t="shared" si="39"/>
        <v>36000</v>
      </c>
      <c r="AO130">
        <f t="shared" si="40"/>
        <v>3286.11</v>
      </c>
      <c r="AP130">
        <f t="shared" si="41"/>
        <v>1199.8499999999999</v>
      </c>
      <c r="AQ130" t="e">
        <f t="shared" si="42"/>
        <v>#N/A</v>
      </c>
      <c r="AR130" t="e">
        <f t="shared" si="43"/>
        <v>#N/A</v>
      </c>
      <c r="AS130" t="e">
        <f t="shared" si="44"/>
        <v>#N/A</v>
      </c>
      <c r="AT130" t="e">
        <f t="shared" si="45"/>
        <v>#N/A</v>
      </c>
      <c r="AU130">
        <f t="shared" si="46"/>
        <v>3309.11</v>
      </c>
      <c r="AV130">
        <f t="shared" si="47"/>
        <v>1754.38</v>
      </c>
      <c r="AW130" t="e">
        <f t="shared" si="48"/>
        <v>#N/A</v>
      </c>
      <c r="AX130" t="e">
        <f t="shared" si="49"/>
        <v>#N/A</v>
      </c>
      <c r="AY130" t="e">
        <f t="shared" si="50"/>
        <v>#N/A</v>
      </c>
      <c r="AZ130" t="e">
        <f t="shared" si="51"/>
        <v>#N/A</v>
      </c>
    </row>
    <row r="131" spans="1:52" x14ac:dyDescent="0.3">
      <c r="A131" t="s">
        <v>127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12985.12</v>
      </c>
      <c r="J131">
        <v>3396.65</v>
      </c>
      <c r="K131">
        <v>36000</v>
      </c>
      <c r="L131">
        <v>36000</v>
      </c>
      <c r="M131">
        <v>36000</v>
      </c>
      <c r="N131">
        <v>36000</v>
      </c>
      <c r="O131">
        <f t="shared" si="28"/>
        <v>12985.12</v>
      </c>
      <c r="P131">
        <f t="shared" si="29"/>
        <v>3396.65</v>
      </c>
      <c r="Q131">
        <f t="shared" si="30"/>
        <v>36000</v>
      </c>
      <c r="R131">
        <f t="shared" si="31"/>
        <v>36000</v>
      </c>
      <c r="S131">
        <f t="shared" si="32"/>
        <v>36000</v>
      </c>
      <c r="T131">
        <f t="shared" si="33"/>
        <v>36000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8902.8700000000008</v>
      </c>
      <c r="AC131">
        <v>4711.09</v>
      </c>
      <c r="AD131">
        <v>36000</v>
      </c>
      <c r="AE131">
        <v>36000</v>
      </c>
      <c r="AF131">
        <v>36000</v>
      </c>
      <c r="AG131">
        <v>36000</v>
      </c>
      <c r="AH131">
        <f t="shared" si="34"/>
        <v>8902.8700000000008</v>
      </c>
      <c r="AI131">
        <f t="shared" si="35"/>
        <v>4711.09</v>
      </c>
      <c r="AJ131">
        <f t="shared" si="36"/>
        <v>36000</v>
      </c>
      <c r="AK131">
        <f t="shared" si="37"/>
        <v>36000</v>
      </c>
      <c r="AL131">
        <f t="shared" si="38"/>
        <v>36000</v>
      </c>
      <c r="AM131">
        <f t="shared" si="39"/>
        <v>36000</v>
      </c>
      <c r="AO131">
        <f t="shared" si="40"/>
        <v>12985.12</v>
      </c>
      <c r="AP131">
        <f t="shared" si="41"/>
        <v>3396.65</v>
      </c>
      <c r="AQ131" t="e">
        <f t="shared" si="42"/>
        <v>#N/A</v>
      </c>
      <c r="AR131" t="e">
        <f t="shared" si="43"/>
        <v>#N/A</v>
      </c>
      <c r="AS131" t="e">
        <f t="shared" si="44"/>
        <v>#N/A</v>
      </c>
      <c r="AT131" t="e">
        <f t="shared" si="45"/>
        <v>#N/A</v>
      </c>
      <c r="AU131">
        <f t="shared" si="46"/>
        <v>8902.8700000000008</v>
      </c>
      <c r="AV131">
        <f t="shared" si="47"/>
        <v>4711.09</v>
      </c>
      <c r="AW131" t="e">
        <f t="shared" si="48"/>
        <v>#N/A</v>
      </c>
      <c r="AX131" t="e">
        <f t="shared" si="49"/>
        <v>#N/A</v>
      </c>
      <c r="AY131" t="e">
        <f t="shared" si="50"/>
        <v>#N/A</v>
      </c>
      <c r="AZ131" t="e">
        <f t="shared" si="51"/>
        <v>#N/A</v>
      </c>
    </row>
    <row r="132" spans="1:52" x14ac:dyDescent="0.3">
      <c r="A132" t="s">
        <v>128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22.35</v>
      </c>
      <c r="J132">
        <v>20.88</v>
      </c>
      <c r="K132">
        <v>36000</v>
      </c>
      <c r="L132">
        <v>36000</v>
      </c>
      <c r="M132">
        <v>36000</v>
      </c>
      <c r="N132">
        <v>36000</v>
      </c>
      <c r="O132">
        <f t="shared" si="28"/>
        <v>22.35</v>
      </c>
      <c r="P132">
        <f t="shared" si="29"/>
        <v>20.88</v>
      </c>
      <c r="Q132">
        <f t="shared" si="30"/>
        <v>36000</v>
      </c>
      <c r="R132">
        <f t="shared" si="31"/>
        <v>36000</v>
      </c>
      <c r="S132">
        <f t="shared" si="32"/>
        <v>36000</v>
      </c>
      <c r="T132">
        <f t="shared" si="33"/>
        <v>36000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31.01</v>
      </c>
      <c r="AC132">
        <v>23.2</v>
      </c>
      <c r="AD132">
        <v>36000</v>
      </c>
      <c r="AE132">
        <v>36000</v>
      </c>
      <c r="AF132">
        <v>36000</v>
      </c>
      <c r="AG132">
        <v>36000</v>
      </c>
      <c r="AH132">
        <f t="shared" si="34"/>
        <v>31.01</v>
      </c>
      <c r="AI132">
        <f t="shared" si="35"/>
        <v>23.2</v>
      </c>
      <c r="AJ132">
        <f t="shared" si="36"/>
        <v>36000</v>
      </c>
      <c r="AK132">
        <f t="shared" si="37"/>
        <v>36000</v>
      </c>
      <c r="AL132">
        <f t="shared" si="38"/>
        <v>36000</v>
      </c>
      <c r="AM132">
        <f t="shared" si="39"/>
        <v>36000</v>
      </c>
      <c r="AO132">
        <f t="shared" si="40"/>
        <v>22.35</v>
      </c>
      <c r="AP132">
        <f t="shared" si="41"/>
        <v>20.88</v>
      </c>
      <c r="AQ132" t="e">
        <f t="shared" si="42"/>
        <v>#N/A</v>
      </c>
      <c r="AR132" t="e">
        <f t="shared" si="43"/>
        <v>#N/A</v>
      </c>
      <c r="AS132" t="e">
        <f t="shared" si="44"/>
        <v>#N/A</v>
      </c>
      <c r="AT132" t="e">
        <f t="shared" si="45"/>
        <v>#N/A</v>
      </c>
      <c r="AU132">
        <f t="shared" si="46"/>
        <v>31.01</v>
      </c>
      <c r="AV132">
        <f t="shared" si="47"/>
        <v>23.2</v>
      </c>
      <c r="AW132" t="e">
        <f t="shared" si="48"/>
        <v>#N/A</v>
      </c>
      <c r="AX132" t="e">
        <f t="shared" si="49"/>
        <v>#N/A</v>
      </c>
      <c r="AY132" t="e">
        <f t="shared" si="50"/>
        <v>#N/A</v>
      </c>
      <c r="AZ132" t="e">
        <f t="shared" si="51"/>
        <v>#N/A</v>
      </c>
    </row>
    <row r="133" spans="1:52" x14ac:dyDescent="0.3">
      <c r="A133" t="s">
        <v>129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5247.8</v>
      </c>
      <c r="J133">
        <v>5254.09</v>
      </c>
      <c r="K133">
        <v>36000</v>
      </c>
      <c r="L133">
        <v>36000</v>
      </c>
      <c r="M133">
        <v>36000</v>
      </c>
      <c r="N133">
        <v>36000</v>
      </c>
      <c r="O133">
        <f t="shared" si="28"/>
        <v>5247.8</v>
      </c>
      <c r="P133">
        <f t="shared" si="29"/>
        <v>5254.09</v>
      </c>
      <c r="Q133">
        <f t="shared" si="30"/>
        <v>36000</v>
      </c>
      <c r="R133">
        <f t="shared" si="31"/>
        <v>36000</v>
      </c>
      <c r="S133">
        <f t="shared" si="32"/>
        <v>36000</v>
      </c>
      <c r="T133">
        <f t="shared" si="33"/>
        <v>36000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7109.83</v>
      </c>
      <c r="AC133">
        <v>3607.19</v>
      </c>
      <c r="AD133">
        <v>36000</v>
      </c>
      <c r="AE133">
        <v>36000</v>
      </c>
      <c r="AF133">
        <v>36000</v>
      </c>
      <c r="AG133">
        <v>36000</v>
      </c>
      <c r="AH133">
        <f t="shared" si="34"/>
        <v>7109.83</v>
      </c>
      <c r="AI133">
        <f t="shared" si="35"/>
        <v>3607.19</v>
      </c>
      <c r="AJ133">
        <f t="shared" si="36"/>
        <v>36000</v>
      </c>
      <c r="AK133">
        <f t="shared" si="37"/>
        <v>36000</v>
      </c>
      <c r="AL133">
        <f t="shared" si="38"/>
        <v>36000</v>
      </c>
      <c r="AM133">
        <f t="shared" si="39"/>
        <v>36000</v>
      </c>
      <c r="AO133">
        <f t="shared" si="40"/>
        <v>5247.8</v>
      </c>
      <c r="AP133">
        <f t="shared" si="41"/>
        <v>5254.09</v>
      </c>
      <c r="AQ133" t="e">
        <f t="shared" si="42"/>
        <v>#N/A</v>
      </c>
      <c r="AR133" t="e">
        <f t="shared" si="43"/>
        <v>#N/A</v>
      </c>
      <c r="AS133" t="e">
        <f t="shared" si="44"/>
        <v>#N/A</v>
      </c>
      <c r="AT133" t="e">
        <f t="shared" si="45"/>
        <v>#N/A</v>
      </c>
      <c r="AU133">
        <f t="shared" si="46"/>
        <v>7109.83</v>
      </c>
      <c r="AV133">
        <f t="shared" si="47"/>
        <v>3607.19</v>
      </c>
      <c r="AW133" t="e">
        <f t="shared" si="48"/>
        <v>#N/A</v>
      </c>
      <c r="AX133" t="e">
        <f t="shared" si="49"/>
        <v>#N/A</v>
      </c>
      <c r="AY133" t="e">
        <f t="shared" si="50"/>
        <v>#N/A</v>
      </c>
      <c r="AZ133" t="e">
        <f t="shared" si="51"/>
        <v>#N/A</v>
      </c>
    </row>
    <row r="134" spans="1:52" x14ac:dyDescent="0.3">
      <c r="A134" t="s">
        <v>130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4142.71</v>
      </c>
      <c r="J134">
        <v>4888.71</v>
      </c>
      <c r="K134">
        <v>36000</v>
      </c>
      <c r="L134">
        <v>36000</v>
      </c>
      <c r="M134">
        <v>36000</v>
      </c>
      <c r="N134">
        <v>36000</v>
      </c>
      <c r="O134">
        <f t="shared" si="28"/>
        <v>4142.71</v>
      </c>
      <c r="P134">
        <f t="shared" si="29"/>
        <v>4888.71</v>
      </c>
      <c r="Q134">
        <f t="shared" si="30"/>
        <v>36000</v>
      </c>
      <c r="R134">
        <f t="shared" si="31"/>
        <v>36000</v>
      </c>
      <c r="S134">
        <f t="shared" si="32"/>
        <v>36000</v>
      </c>
      <c r="T134">
        <f t="shared" si="33"/>
        <v>36000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6564.98</v>
      </c>
      <c r="AC134">
        <v>7058.09</v>
      </c>
      <c r="AD134">
        <v>36000</v>
      </c>
      <c r="AE134">
        <v>36000</v>
      </c>
      <c r="AF134">
        <v>36000</v>
      </c>
      <c r="AG134">
        <v>36000</v>
      </c>
      <c r="AH134">
        <f t="shared" si="34"/>
        <v>6564.98</v>
      </c>
      <c r="AI134">
        <f t="shared" si="35"/>
        <v>7058.09</v>
      </c>
      <c r="AJ134">
        <f t="shared" si="36"/>
        <v>36000</v>
      </c>
      <c r="AK134">
        <f t="shared" si="37"/>
        <v>36000</v>
      </c>
      <c r="AL134">
        <f t="shared" si="38"/>
        <v>36000</v>
      </c>
      <c r="AM134">
        <f t="shared" si="39"/>
        <v>36000</v>
      </c>
      <c r="AO134">
        <f t="shared" si="40"/>
        <v>4142.71</v>
      </c>
      <c r="AP134">
        <f t="shared" si="41"/>
        <v>4888.71</v>
      </c>
      <c r="AQ134" t="e">
        <f t="shared" si="42"/>
        <v>#N/A</v>
      </c>
      <c r="AR134" t="e">
        <f t="shared" si="43"/>
        <v>#N/A</v>
      </c>
      <c r="AS134" t="e">
        <f t="shared" si="44"/>
        <v>#N/A</v>
      </c>
      <c r="AT134" t="e">
        <f t="shared" si="45"/>
        <v>#N/A</v>
      </c>
      <c r="AU134">
        <f t="shared" si="46"/>
        <v>6564.98</v>
      </c>
      <c r="AV134">
        <f t="shared" si="47"/>
        <v>7058.09</v>
      </c>
      <c r="AW134" t="e">
        <f t="shared" si="48"/>
        <v>#N/A</v>
      </c>
      <c r="AX134" t="e">
        <f t="shared" si="49"/>
        <v>#N/A</v>
      </c>
      <c r="AY134" t="e">
        <f t="shared" si="50"/>
        <v>#N/A</v>
      </c>
      <c r="AZ134" t="e">
        <f t="shared" si="51"/>
        <v>#N/A</v>
      </c>
    </row>
    <row r="135" spans="1:52" x14ac:dyDescent="0.3">
      <c r="A135" t="s">
        <v>131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642.66</v>
      </c>
      <c r="J135">
        <v>767.08</v>
      </c>
      <c r="K135">
        <v>36000</v>
      </c>
      <c r="L135">
        <v>36000</v>
      </c>
      <c r="M135">
        <v>36000</v>
      </c>
      <c r="N135">
        <v>36000</v>
      </c>
      <c r="O135">
        <f t="shared" si="28"/>
        <v>642.66</v>
      </c>
      <c r="P135">
        <f t="shared" si="29"/>
        <v>767.08</v>
      </c>
      <c r="Q135">
        <f t="shared" si="30"/>
        <v>36000</v>
      </c>
      <c r="R135">
        <f t="shared" si="31"/>
        <v>36000</v>
      </c>
      <c r="S135">
        <f t="shared" si="32"/>
        <v>36000</v>
      </c>
      <c r="T135">
        <f t="shared" si="33"/>
        <v>36000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1310.95</v>
      </c>
      <c r="AC135">
        <v>1218.49</v>
      </c>
      <c r="AD135">
        <v>36000</v>
      </c>
      <c r="AE135">
        <v>36000</v>
      </c>
      <c r="AF135">
        <v>36000</v>
      </c>
      <c r="AG135">
        <v>36000</v>
      </c>
      <c r="AH135">
        <f t="shared" si="34"/>
        <v>1310.95</v>
      </c>
      <c r="AI135">
        <f t="shared" si="35"/>
        <v>1218.49</v>
      </c>
      <c r="AJ135">
        <f t="shared" si="36"/>
        <v>36000</v>
      </c>
      <c r="AK135">
        <f t="shared" si="37"/>
        <v>36000</v>
      </c>
      <c r="AL135">
        <f t="shared" si="38"/>
        <v>36000</v>
      </c>
      <c r="AM135">
        <f t="shared" si="39"/>
        <v>36000</v>
      </c>
      <c r="AO135">
        <f t="shared" si="40"/>
        <v>642.66</v>
      </c>
      <c r="AP135">
        <f t="shared" si="41"/>
        <v>767.08</v>
      </c>
      <c r="AQ135" t="e">
        <f t="shared" si="42"/>
        <v>#N/A</v>
      </c>
      <c r="AR135" t="e">
        <f t="shared" si="43"/>
        <v>#N/A</v>
      </c>
      <c r="AS135" t="e">
        <f t="shared" si="44"/>
        <v>#N/A</v>
      </c>
      <c r="AT135" t="e">
        <f t="shared" si="45"/>
        <v>#N/A</v>
      </c>
      <c r="AU135">
        <f t="shared" si="46"/>
        <v>1310.95</v>
      </c>
      <c r="AV135">
        <f t="shared" si="47"/>
        <v>1218.49</v>
      </c>
      <c r="AW135" t="e">
        <f t="shared" si="48"/>
        <v>#N/A</v>
      </c>
      <c r="AX135" t="e">
        <f t="shared" si="49"/>
        <v>#N/A</v>
      </c>
      <c r="AY135" t="e">
        <f t="shared" si="50"/>
        <v>#N/A</v>
      </c>
      <c r="AZ135" t="e">
        <f t="shared" si="51"/>
        <v>#N/A</v>
      </c>
    </row>
    <row r="136" spans="1:52" x14ac:dyDescent="0.3">
      <c r="A136" t="s">
        <v>132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22141.279999999999</v>
      </c>
      <c r="J136">
        <v>30527.71</v>
      </c>
      <c r="K136">
        <v>36000</v>
      </c>
      <c r="L136">
        <v>36000</v>
      </c>
      <c r="M136">
        <v>36000</v>
      </c>
      <c r="N136">
        <v>36000</v>
      </c>
      <c r="O136">
        <f t="shared" si="28"/>
        <v>22141.279999999999</v>
      </c>
      <c r="P136">
        <f t="shared" si="29"/>
        <v>30527.71</v>
      </c>
      <c r="Q136">
        <f t="shared" si="30"/>
        <v>36000</v>
      </c>
      <c r="R136">
        <f t="shared" si="31"/>
        <v>36000</v>
      </c>
      <c r="S136">
        <f t="shared" si="32"/>
        <v>36000</v>
      </c>
      <c r="T136">
        <f t="shared" si="33"/>
        <v>36000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36000</v>
      </c>
      <c r="AC136">
        <v>36000</v>
      </c>
      <c r="AD136">
        <v>36000</v>
      </c>
      <c r="AE136">
        <v>36000</v>
      </c>
      <c r="AF136">
        <v>36000</v>
      </c>
      <c r="AG136">
        <v>36000</v>
      </c>
      <c r="AH136">
        <f t="shared" si="34"/>
        <v>36000</v>
      </c>
      <c r="AI136">
        <f t="shared" si="35"/>
        <v>36000</v>
      </c>
      <c r="AJ136">
        <f t="shared" si="36"/>
        <v>36000</v>
      </c>
      <c r="AK136">
        <f t="shared" si="37"/>
        <v>36000</v>
      </c>
      <c r="AL136">
        <f t="shared" si="38"/>
        <v>36000</v>
      </c>
      <c r="AM136">
        <f t="shared" si="39"/>
        <v>36000</v>
      </c>
      <c r="AO136">
        <f t="shared" si="40"/>
        <v>22141.279999999999</v>
      </c>
      <c r="AP136">
        <f t="shared" si="41"/>
        <v>30527.71</v>
      </c>
      <c r="AQ136" t="e">
        <f t="shared" si="42"/>
        <v>#N/A</v>
      </c>
      <c r="AR136" t="e">
        <f t="shared" si="43"/>
        <v>#N/A</v>
      </c>
      <c r="AS136" t="e">
        <f t="shared" si="44"/>
        <v>#N/A</v>
      </c>
      <c r="AT136" t="e">
        <f t="shared" si="45"/>
        <v>#N/A</v>
      </c>
      <c r="AU136">
        <f t="shared" si="46"/>
        <v>36000</v>
      </c>
      <c r="AV136">
        <f t="shared" si="47"/>
        <v>36000</v>
      </c>
      <c r="AW136" t="e">
        <f t="shared" si="48"/>
        <v>#N/A</v>
      </c>
      <c r="AX136" t="e">
        <f t="shared" si="49"/>
        <v>#N/A</v>
      </c>
      <c r="AY136" t="e">
        <f t="shared" si="50"/>
        <v>#N/A</v>
      </c>
      <c r="AZ136" t="e">
        <f t="shared" si="51"/>
        <v>#N/A</v>
      </c>
    </row>
    <row r="137" spans="1:52" x14ac:dyDescent="0.3">
      <c r="A137" t="s">
        <v>133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1575.54</v>
      </c>
      <c r="J137">
        <v>3018.56</v>
      </c>
      <c r="K137">
        <v>36000</v>
      </c>
      <c r="L137">
        <v>36000</v>
      </c>
      <c r="M137">
        <v>36000</v>
      </c>
      <c r="N137">
        <v>36000</v>
      </c>
      <c r="O137">
        <f t="shared" si="28"/>
        <v>1575.54</v>
      </c>
      <c r="P137">
        <f t="shared" si="29"/>
        <v>3018.56</v>
      </c>
      <c r="Q137">
        <f t="shared" si="30"/>
        <v>36000</v>
      </c>
      <c r="R137">
        <f t="shared" si="31"/>
        <v>36000</v>
      </c>
      <c r="S137">
        <f t="shared" si="32"/>
        <v>36000</v>
      </c>
      <c r="T137">
        <f t="shared" si="33"/>
        <v>36000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4780.72</v>
      </c>
      <c r="AC137">
        <v>4444.26</v>
      </c>
      <c r="AD137">
        <v>36000</v>
      </c>
      <c r="AE137">
        <v>36000</v>
      </c>
      <c r="AF137">
        <v>36000</v>
      </c>
      <c r="AG137">
        <v>36000</v>
      </c>
      <c r="AH137">
        <f t="shared" si="34"/>
        <v>4780.72</v>
      </c>
      <c r="AI137">
        <f t="shared" si="35"/>
        <v>4444.26</v>
      </c>
      <c r="AJ137">
        <f t="shared" si="36"/>
        <v>36000</v>
      </c>
      <c r="AK137">
        <f t="shared" si="37"/>
        <v>36000</v>
      </c>
      <c r="AL137">
        <f t="shared" si="38"/>
        <v>36000</v>
      </c>
      <c r="AM137">
        <f t="shared" si="39"/>
        <v>36000</v>
      </c>
      <c r="AO137">
        <f t="shared" si="40"/>
        <v>1575.54</v>
      </c>
      <c r="AP137">
        <f t="shared" si="41"/>
        <v>3018.56</v>
      </c>
      <c r="AQ137" t="e">
        <f t="shared" si="42"/>
        <v>#N/A</v>
      </c>
      <c r="AR137" t="e">
        <f t="shared" si="43"/>
        <v>#N/A</v>
      </c>
      <c r="AS137" t="e">
        <f t="shared" si="44"/>
        <v>#N/A</v>
      </c>
      <c r="AT137" t="e">
        <f t="shared" si="45"/>
        <v>#N/A</v>
      </c>
      <c r="AU137">
        <f t="shared" si="46"/>
        <v>4780.72</v>
      </c>
      <c r="AV137">
        <f t="shared" si="47"/>
        <v>4444.26</v>
      </c>
      <c r="AW137" t="e">
        <f t="shared" si="48"/>
        <v>#N/A</v>
      </c>
      <c r="AX137" t="e">
        <f t="shared" si="49"/>
        <v>#N/A</v>
      </c>
      <c r="AY137" t="e">
        <f t="shared" si="50"/>
        <v>#N/A</v>
      </c>
      <c r="AZ137" t="e">
        <f t="shared" si="51"/>
        <v>#N/A</v>
      </c>
    </row>
    <row r="138" spans="1:52" x14ac:dyDescent="0.3">
      <c r="A138" t="s">
        <v>134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275.25</v>
      </c>
      <c r="J138">
        <v>61.91</v>
      </c>
      <c r="K138">
        <v>36000</v>
      </c>
      <c r="L138">
        <v>36000</v>
      </c>
      <c r="M138">
        <v>36000</v>
      </c>
      <c r="N138">
        <v>36000</v>
      </c>
      <c r="O138">
        <f t="shared" si="28"/>
        <v>275.25</v>
      </c>
      <c r="P138">
        <f t="shared" si="29"/>
        <v>61.91</v>
      </c>
      <c r="Q138">
        <f t="shared" si="30"/>
        <v>36000</v>
      </c>
      <c r="R138">
        <f t="shared" si="31"/>
        <v>36000</v>
      </c>
      <c r="S138">
        <f t="shared" si="32"/>
        <v>36000</v>
      </c>
      <c r="T138">
        <f t="shared" si="33"/>
        <v>36000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156.97999999999999</v>
      </c>
      <c r="AC138">
        <v>120.08</v>
      </c>
      <c r="AD138">
        <v>36000</v>
      </c>
      <c r="AE138">
        <v>36000</v>
      </c>
      <c r="AF138">
        <v>36000</v>
      </c>
      <c r="AG138">
        <v>36000</v>
      </c>
      <c r="AH138">
        <f t="shared" si="34"/>
        <v>156.97999999999999</v>
      </c>
      <c r="AI138">
        <f t="shared" si="35"/>
        <v>120.08</v>
      </c>
      <c r="AJ138">
        <f t="shared" si="36"/>
        <v>36000</v>
      </c>
      <c r="AK138">
        <f t="shared" si="37"/>
        <v>36000</v>
      </c>
      <c r="AL138">
        <f t="shared" si="38"/>
        <v>36000</v>
      </c>
      <c r="AM138">
        <f t="shared" si="39"/>
        <v>36000</v>
      </c>
      <c r="AO138">
        <f t="shared" si="40"/>
        <v>275.25</v>
      </c>
      <c r="AP138">
        <f t="shared" si="41"/>
        <v>61.91</v>
      </c>
      <c r="AQ138" t="e">
        <f t="shared" si="42"/>
        <v>#N/A</v>
      </c>
      <c r="AR138" t="e">
        <f t="shared" si="43"/>
        <v>#N/A</v>
      </c>
      <c r="AS138" t="e">
        <f t="shared" si="44"/>
        <v>#N/A</v>
      </c>
      <c r="AT138" t="e">
        <f t="shared" si="45"/>
        <v>#N/A</v>
      </c>
      <c r="AU138">
        <f t="shared" si="46"/>
        <v>156.97999999999999</v>
      </c>
      <c r="AV138">
        <f t="shared" si="47"/>
        <v>120.08</v>
      </c>
      <c r="AW138" t="e">
        <f t="shared" si="48"/>
        <v>#N/A</v>
      </c>
      <c r="AX138" t="e">
        <f t="shared" si="49"/>
        <v>#N/A</v>
      </c>
      <c r="AY138" t="e">
        <f t="shared" si="50"/>
        <v>#N/A</v>
      </c>
      <c r="AZ138" t="e">
        <f t="shared" si="51"/>
        <v>#N/A</v>
      </c>
    </row>
    <row r="139" spans="1:52" x14ac:dyDescent="0.3">
      <c r="A139" t="s">
        <v>135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36000</v>
      </c>
      <c r="J139">
        <v>36000</v>
      </c>
      <c r="K139">
        <v>36000</v>
      </c>
      <c r="L139">
        <v>36000</v>
      </c>
      <c r="M139">
        <v>36000</v>
      </c>
      <c r="N139">
        <v>36000</v>
      </c>
      <c r="O139">
        <f t="shared" si="28"/>
        <v>36000</v>
      </c>
      <c r="P139">
        <f t="shared" si="29"/>
        <v>36000</v>
      </c>
      <c r="Q139">
        <f t="shared" si="30"/>
        <v>36000</v>
      </c>
      <c r="R139">
        <f t="shared" si="31"/>
        <v>36000</v>
      </c>
      <c r="S139">
        <f t="shared" si="32"/>
        <v>36000</v>
      </c>
      <c r="T139">
        <f t="shared" si="33"/>
        <v>36000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0</v>
      </c>
      <c r="AB139">
        <v>36000</v>
      </c>
      <c r="AC139">
        <v>36000</v>
      </c>
      <c r="AD139">
        <v>36000</v>
      </c>
      <c r="AE139">
        <v>36000</v>
      </c>
      <c r="AF139">
        <v>36000</v>
      </c>
      <c r="AG139">
        <v>36000</v>
      </c>
      <c r="AH139">
        <f t="shared" si="34"/>
        <v>36000</v>
      </c>
      <c r="AI139">
        <f t="shared" si="35"/>
        <v>36000</v>
      </c>
      <c r="AJ139">
        <f t="shared" si="36"/>
        <v>36000</v>
      </c>
      <c r="AK139">
        <f t="shared" si="37"/>
        <v>36000</v>
      </c>
      <c r="AL139" t="e">
        <f t="shared" si="38"/>
        <v>#N/A</v>
      </c>
      <c r="AM139">
        <f t="shared" si="39"/>
        <v>36000</v>
      </c>
      <c r="AO139" t="e">
        <f t="shared" si="40"/>
        <v>#N/A</v>
      </c>
      <c r="AP139" t="e">
        <f t="shared" si="41"/>
        <v>#N/A</v>
      </c>
      <c r="AQ139" t="e">
        <f t="shared" si="42"/>
        <v>#N/A</v>
      </c>
      <c r="AR139" t="e">
        <f t="shared" si="43"/>
        <v>#N/A</v>
      </c>
      <c r="AS139" t="e">
        <f t="shared" si="44"/>
        <v>#N/A</v>
      </c>
      <c r="AT139" t="e">
        <f t="shared" si="45"/>
        <v>#N/A</v>
      </c>
      <c r="AU139" t="e">
        <f t="shared" si="46"/>
        <v>#N/A</v>
      </c>
      <c r="AV139" t="e">
        <f t="shared" si="47"/>
        <v>#N/A</v>
      </c>
      <c r="AW139" t="e">
        <f t="shared" si="48"/>
        <v>#N/A</v>
      </c>
      <c r="AX139" t="e">
        <f t="shared" si="49"/>
        <v>#N/A</v>
      </c>
      <c r="AY139" t="e">
        <f t="shared" si="50"/>
        <v>#N/A</v>
      </c>
      <c r="AZ139" t="e">
        <f t="shared" si="51"/>
        <v>#N/A</v>
      </c>
    </row>
    <row r="140" spans="1:52" x14ac:dyDescent="0.3">
      <c r="A140" t="s">
        <v>136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36000</v>
      </c>
      <c r="J140">
        <v>36000</v>
      </c>
      <c r="K140">
        <v>36000</v>
      </c>
      <c r="L140">
        <v>36000</v>
      </c>
      <c r="M140">
        <v>36000</v>
      </c>
      <c r="N140">
        <v>36000</v>
      </c>
      <c r="O140">
        <f t="shared" si="28"/>
        <v>36000</v>
      </c>
      <c r="P140">
        <f t="shared" si="29"/>
        <v>36000</v>
      </c>
      <c r="Q140">
        <f t="shared" si="30"/>
        <v>36000</v>
      </c>
      <c r="R140">
        <f t="shared" si="31"/>
        <v>36000</v>
      </c>
      <c r="S140">
        <f t="shared" si="32"/>
        <v>36000</v>
      </c>
      <c r="T140">
        <f t="shared" si="33"/>
        <v>36000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36000</v>
      </c>
      <c r="AC140">
        <v>36000</v>
      </c>
      <c r="AD140">
        <v>36000</v>
      </c>
      <c r="AE140">
        <v>36000</v>
      </c>
      <c r="AF140">
        <v>36000</v>
      </c>
      <c r="AG140">
        <v>36000</v>
      </c>
      <c r="AH140">
        <f t="shared" si="34"/>
        <v>36000</v>
      </c>
      <c r="AI140">
        <f t="shared" si="35"/>
        <v>36000</v>
      </c>
      <c r="AJ140">
        <f t="shared" si="36"/>
        <v>36000</v>
      </c>
      <c r="AK140">
        <f t="shared" si="37"/>
        <v>36000</v>
      </c>
      <c r="AL140">
        <f t="shared" si="38"/>
        <v>36000</v>
      </c>
      <c r="AM140">
        <f t="shared" si="39"/>
        <v>36000</v>
      </c>
      <c r="AO140" t="e">
        <f t="shared" si="40"/>
        <v>#N/A</v>
      </c>
      <c r="AP140" t="e">
        <f t="shared" si="41"/>
        <v>#N/A</v>
      </c>
      <c r="AQ140" t="e">
        <f t="shared" si="42"/>
        <v>#N/A</v>
      </c>
      <c r="AR140" t="e">
        <f t="shared" si="43"/>
        <v>#N/A</v>
      </c>
      <c r="AS140" t="e">
        <f t="shared" si="44"/>
        <v>#N/A</v>
      </c>
      <c r="AT140" t="e">
        <f t="shared" si="45"/>
        <v>#N/A</v>
      </c>
      <c r="AU140" t="e">
        <f t="shared" si="46"/>
        <v>#N/A</v>
      </c>
      <c r="AV140" t="e">
        <f t="shared" si="47"/>
        <v>#N/A</v>
      </c>
      <c r="AW140" t="e">
        <f t="shared" si="48"/>
        <v>#N/A</v>
      </c>
      <c r="AX140" t="e">
        <f t="shared" si="49"/>
        <v>#N/A</v>
      </c>
      <c r="AY140" t="e">
        <f t="shared" si="50"/>
        <v>#N/A</v>
      </c>
      <c r="AZ140" t="e">
        <f t="shared" si="51"/>
        <v>#N/A</v>
      </c>
    </row>
    <row r="141" spans="1:52" x14ac:dyDescent="0.3">
      <c r="A141" t="s">
        <v>137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884.09</v>
      </c>
      <c r="J141">
        <v>928.24</v>
      </c>
      <c r="K141">
        <v>36000</v>
      </c>
      <c r="L141">
        <v>36000</v>
      </c>
      <c r="M141">
        <v>36000</v>
      </c>
      <c r="N141">
        <v>36000</v>
      </c>
      <c r="O141">
        <f t="shared" ref="O141:O173" si="52">IF(C141&lt;0,NA(),I141)</f>
        <v>884.09</v>
      </c>
      <c r="P141">
        <f t="shared" ref="P141:P173" si="53">IF(D141&lt;0,NA(),J141)</f>
        <v>928.24</v>
      </c>
      <c r="Q141">
        <f t="shared" ref="Q141:Q173" si="54">IF(E141&lt;0,NA(),K141)</f>
        <v>36000</v>
      </c>
      <c r="R141">
        <f t="shared" ref="R141:R173" si="55">IF(F141&lt;0,NA(),L141)</f>
        <v>36000</v>
      </c>
      <c r="S141">
        <f t="shared" ref="S141:S173" si="56">IF(G141&lt;0,NA(),M141)</f>
        <v>36000</v>
      </c>
      <c r="T141">
        <f t="shared" ref="T141:T173" si="57">IF(H141&lt;0,NA(),N141)</f>
        <v>36000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2085.77</v>
      </c>
      <c r="AC141">
        <v>3117.2</v>
      </c>
      <c r="AD141">
        <v>36000</v>
      </c>
      <c r="AE141">
        <v>36000</v>
      </c>
      <c r="AF141">
        <v>36000</v>
      </c>
      <c r="AG141">
        <v>36000</v>
      </c>
      <c r="AH141">
        <f t="shared" ref="AH141:AH173" si="58">IF(V141&lt;0,NA(),AB141)</f>
        <v>2085.77</v>
      </c>
      <c r="AI141">
        <f t="shared" ref="AI141:AI173" si="59">IF(W141&lt;0,NA(),AC141)</f>
        <v>3117.2</v>
      </c>
      <c r="AJ141">
        <f t="shared" ref="AJ141:AJ173" si="60">IF(X141&lt;0,NA(),AD141)</f>
        <v>36000</v>
      </c>
      <c r="AK141">
        <f t="shared" ref="AK141:AK173" si="61">IF(Y141&lt;0,NA(),AE141)</f>
        <v>36000</v>
      </c>
      <c r="AL141">
        <f t="shared" ref="AL141:AL173" si="62">IF(Z141&lt;0,NA(),AF141)</f>
        <v>36000</v>
      </c>
      <c r="AM141">
        <f t="shared" ref="AM141:AM173" si="63">IF(AA141&lt;0,NA(),AG141)</f>
        <v>36000</v>
      </c>
      <c r="AO141">
        <f t="shared" ref="AO141:AO173" si="64">IF(OR(ISNA(O141),ISNA(AH141),AND(O141=36000,AH141=36000)),NA(), O141)</f>
        <v>884.09</v>
      </c>
      <c r="AP141">
        <f t="shared" ref="AP141:AP173" si="65">IF(OR(ISNA(P141),ISNA(AI141),AND(P141=36000,AI141=36000)),NA(), P141)</f>
        <v>928.24</v>
      </c>
      <c r="AQ141" t="e">
        <f t="shared" ref="AQ141:AQ173" si="66">IF(OR(ISNA(Q141),ISNA(AJ141),AND(Q141=36000,AJ141=36000)),NA(), Q141)</f>
        <v>#N/A</v>
      </c>
      <c r="AR141" t="e">
        <f t="shared" ref="AR141:AR173" si="67">IF(OR(ISNA(R141),ISNA(AK141),AND(R141=36000,AK141=36000)),NA(), R141)</f>
        <v>#N/A</v>
      </c>
      <c r="AS141" t="e">
        <f t="shared" ref="AS141:AS173" si="68">IF(OR(ISNA(S141),ISNA(AL141),AND(S141=36000,AL141=36000)),NA(), S141)</f>
        <v>#N/A</v>
      </c>
      <c r="AT141" t="e">
        <f t="shared" ref="AT141:AT173" si="69">IF(OR(ISNA(T141),ISNA(AM141),AND(T141=36000,AM141=36000)),NA(), T141)</f>
        <v>#N/A</v>
      </c>
      <c r="AU141">
        <f t="shared" ref="AU141:AU173" si="70">IF(OR(ISNA(O141),ISNA(AH141),AND(O141=36000,AH141=36000)),NA(), AH141)</f>
        <v>2085.77</v>
      </c>
      <c r="AV141">
        <f t="shared" ref="AV141:AV173" si="71">IF(OR(ISNA(P141),ISNA(AI141),AND(P141=36000,AI141=36000)),NA(), AI141)</f>
        <v>3117.2</v>
      </c>
      <c r="AW141" t="e">
        <f t="shared" ref="AW141:AW173" si="72">IF(OR(ISNA(Q141),ISNA(AJ141),AND(Q141=36000,AJ141=36000)),NA(), AJ141)</f>
        <v>#N/A</v>
      </c>
      <c r="AX141" t="e">
        <f t="shared" ref="AX141:AX173" si="73">IF(OR(ISNA(R141),ISNA(AK141),AND(R141=36000,AK141=36000)),NA(), AK141)</f>
        <v>#N/A</v>
      </c>
      <c r="AY141" t="e">
        <f t="shared" ref="AY141:AY173" si="74">IF(OR(ISNA(S141),ISNA(AL141),AND(S141=36000,AL141=36000)),NA(), AL141)</f>
        <v>#N/A</v>
      </c>
      <c r="AZ141" t="e">
        <f t="shared" ref="AZ141:AZ173" si="75">IF(OR(ISNA(T141),ISNA(AM141),AND(T141=36000,AM141=36000)),NA(), AM141)</f>
        <v>#N/A</v>
      </c>
    </row>
    <row r="142" spans="1:52" x14ac:dyDescent="0.3">
      <c r="A142" t="s">
        <v>138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36000</v>
      </c>
      <c r="J142">
        <v>36000</v>
      </c>
      <c r="K142">
        <v>36000</v>
      </c>
      <c r="L142">
        <v>36000</v>
      </c>
      <c r="M142">
        <v>36000</v>
      </c>
      <c r="N142">
        <v>36000</v>
      </c>
      <c r="O142">
        <f t="shared" si="52"/>
        <v>36000</v>
      </c>
      <c r="P142">
        <f t="shared" si="53"/>
        <v>36000</v>
      </c>
      <c r="Q142">
        <f t="shared" si="54"/>
        <v>36000</v>
      </c>
      <c r="R142">
        <f t="shared" si="55"/>
        <v>36000</v>
      </c>
      <c r="S142">
        <f t="shared" si="56"/>
        <v>36000</v>
      </c>
      <c r="T142">
        <f t="shared" si="57"/>
        <v>36000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36000</v>
      </c>
      <c r="AC142">
        <v>36000</v>
      </c>
      <c r="AD142">
        <v>36000</v>
      </c>
      <c r="AE142">
        <v>36000</v>
      </c>
      <c r="AF142">
        <v>36000</v>
      </c>
      <c r="AG142">
        <v>36000</v>
      </c>
      <c r="AH142">
        <f t="shared" si="58"/>
        <v>36000</v>
      </c>
      <c r="AI142">
        <f t="shared" si="59"/>
        <v>36000</v>
      </c>
      <c r="AJ142">
        <f t="shared" si="60"/>
        <v>36000</v>
      </c>
      <c r="AK142">
        <f t="shared" si="61"/>
        <v>36000</v>
      </c>
      <c r="AL142">
        <f t="shared" si="62"/>
        <v>36000</v>
      </c>
      <c r="AM142">
        <f t="shared" si="63"/>
        <v>36000</v>
      </c>
      <c r="AO142" t="e">
        <f t="shared" si="64"/>
        <v>#N/A</v>
      </c>
      <c r="AP142" t="e">
        <f t="shared" si="65"/>
        <v>#N/A</v>
      </c>
      <c r="AQ142" t="e">
        <f t="shared" si="66"/>
        <v>#N/A</v>
      </c>
      <c r="AR142" t="e">
        <f t="shared" si="67"/>
        <v>#N/A</v>
      </c>
      <c r="AS142" t="e">
        <f t="shared" si="68"/>
        <v>#N/A</v>
      </c>
      <c r="AT142" t="e">
        <f t="shared" si="69"/>
        <v>#N/A</v>
      </c>
      <c r="AU142" t="e">
        <f t="shared" si="70"/>
        <v>#N/A</v>
      </c>
      <c r="AV142" t="e">
        <f t="shared" si="71"/>
        <v>#N/A</v>
      </c>
      <c r="AW142" t="e">
        <f t="shared" si="72"/>
        <v>#N/A</v>
      </c>
      <c r="AX142" t="e">
        <f t="shared" si="73"/>
        <v>#N/A</v>
      </c>
      <c r="AY142" t="e">
        <f t="shared" si="74"/>
        <v>#N/A</v>
      </c>
      <c r="AZ142" t="e">
        <f t="shared" si="75"/>
        <v>#N/A</v>
      </c>
    </row>
    <row r="143" spans="1:52" x14ac:dyDescent="0.3">
      <c r="A143" t="s">
        <v>139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36000</v>
      </c>
      <c r="J143">
        <v>36000</v>
      </c>
      <c r="K143">
        <v>36000</v>
      </c>
      <c r="L143">
        <v>36000</v>
      </c>
      <c r="M143">
        <v>36000</v>
      </c>
      <c r="N143">
        <v>36000</v>
      </c>
      <c r="O143">
        <f t="shared" si="52"/>
        <v>36000</v>
      </c>
      <c r="P143">
        <f t="shared" si="53"/>
        <v>36000</v>
      </c>
      <c r="Q143">
        <f t="shared" si="54"/>
        <v>36000</v>
      </c>
      <c r="R143">
        <f t="shared" si="55"/>
        <v>36000</v>
      </c>
      <c r="S143">
        <f t="shared" si="56"/>
        <v>36000</v>
      </c>
      <c r="T143">
        <f t="shared" si="57"/>
        <v>36000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-1</v>
      </c>
      <c r="AB143">
        <v>36000</v>
      </c>
      <c r="AC143">
        <v>36000</v>
      </c>
      <c r="AD143">
        <v>36000</v>
      </c>
      <c r="AE143">
        <v>36000</v>
      </c>
      <c r="AF143">
        <v>36000</v>
      </c>
      <c r="AG143">
        <v>36000</v>
      </c>
      <c r="AH143">
        <f t="shared" si="58"/>
        <v>36000</v>
      </c>
      <c r="AI143">
        <f t="shared" si="59"/>
        <v>36000</v>
      </c>
      <c r="AJ143">
        <f t="shared" si="60"/>
        <v>36000</v>
      </c>
      <c r="AK143">
        <f t="shared" si="61"/>
        <v>36000</v>
      </c>
      <c r="AL143">
        <f t="shared" si="62"/>
        <v>36000</v>
      </c>
      <c r="AM143" t="e">
        <f t="shared" si="63"/>
        <v>#N/A</v>
      </c>
      <c r="AO143" t="e">
        <f t="shared" si="64"/>
        <v>#N/A</v>
      </c>
      <c r="AP143" t="e">
        <f t="shared" si="65"/>
        <v>#N/A</v>
      </c>
      <c r="AQ143" t="e">
        <f t="shared" si="66"/>
        <v>#N/A</v>
      </c>
      <c r="AR143" t="e">
        <f t="shared" si="67"/>
        <v>#N/A</v>
      </c>
      <c r="AS143" t="e">
        <f t="shared" si="68"/>
        <v>#N/A</v>
      </c>
      <c r="AT143" t="e">
        <f t="shared" si="69"/>
        <v>#N/A</v>
      </c>
      <c r="AU143" t="e">
        <f t="shared" si="70"/>
        <v>#N/A</v>
      </c>
      <c r="AV143" t="e">
        <f t="shared" si="71"/>
        <v>#N/A</v>
      </c>
      <c r="AW143" t="e">
        <f t="shared" si="72"/>
        <v>#N/A</v>
      </c>
      <c r="AX143" t="e">
        <f t="shared" si="73"/>
        <v>#N/A</v>
      </c>
      <c r="AY143" t="e">
        <f t="shared" si="74"/>
        <v>#N/A</v>
      </c>
      <c r="AZ143" t="e">
        <f t="shared" si="75"/>
        <v>#N/A</v>
      </c>
    </row>
    <row r="144" spans="1:52" x14ac:dyDescent="0.3">
      <c r="A144" t="s">
        <v>140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471.1</v>
      </c>
      <c r="J144">
        <v>533.66</v>
      </c>
      <c r="K144">
        <v>36000</v>
      </c>
      <c r="L144">
        <v>36000</v>
      </c>
      <c r="M144">
        <v>36000</v>
      </c>
      <c r="N144">
        <v>36000</v>
      </c>
      <c r="O144">
        <f t="shared" si="52"/>
        <v>471.1</v>
      </c>
      <c r="P144">
        <f t="shared" si="53"/>
        <v>533.66</v>
      </c>
      <c r="Q144">
        <f t="shared" si="54"/>
        <v>36000</v>
      </c>
      <c r="R144">
        <f t="shared" si="55"/>
        <v>36000</v>
      </c>
      <c r="S144">
        <f t="shared" si="56"/>
        <v>36000</v>
      </c>
      <c r="T144">
        <f t="shared" si="57"/>
        <v>36000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1007.92</v>
      </c>
      <c r="AC144">
        <v>2129.41</v>
      </c>
      <c r="AD144">
        <v>36000</v>
      </c>
      <c r="AE144">
        <v>36000</v>
      </c>
      <c r="AF144">
        <v>36000</v>
      </c>
      <c r="AG144">
        <v>36000</v>
      </c>
      <c r="AH144">
        <f t="shared" si="58"/>
        <v>1007.92</v>
      </c>
      <c r="AI144">
        <f t="shared" si="59"/>
        <v>2129.41</v>
      </c>
      <c r="AJ144">
        <f t="shared" si="60"/>
        <v>36000</v>
      </c>
      <c r="AK144">
        <f t="shared" si="61"/>
        <v>36000</v>
      </c>
      <c r="AL144">
        <f t="shared" si="62"/>
        <v>36000</v>
      </c>
      <c r="AM144">
        <f t="shared" si="63"/>
        <v>36000</v>
      </c>
      <c r="AO144">
        <f t="shared" si="64"/>
        <v>471.1</v>
      </c>
      <c r="AP144">
        <f t="shared" si="65"/>
        <v>533.66</v>
      </c>
      <c r="AQ144" t="e">
        <f t="shared" si="66"/>
        <v>#N/A</v>
      </c>
      <c r="AR144" t="e">
        <f t="shared" si="67"/>
        <v>#N/A</v>
      </c>
      <c r="AS144" t="e">
        <f t="shared" si="68"/>
        <v>#N/A</v>
      </c>
      <c r="AT144" t="e">
        <f t="shared" si="69"/>
        <v>#N/A</v>
      </c>
      <c r="AU144">
        <f t="shared" si="70"/>
        <v>1007.92</v>
      </c>
      <c r="AV144">
        <f t="shared" si="71"/>
        <v>2129.41</v>
      </c>
      <c r="AW144" t="e">
        <f t="shared" si="72"/>
        <v>#N/A</v>
      </c>
      <c r="AX144" t="e">
        <f t="shared" si="73"/>
        <v>#N/A</v>
      </c>
      <c r="AY144" t="e">
        <f t="shared" si="74"/>
        <v>#N/A</v>
      </c>
      <c r="AZ144" t="e">
        <f t="shared" si="75"/>
        <v>#N/A</v>
      </c>
    </row>
    <row r="145" spans="1:52" x14ac:dyDescent="0.3">
      <c r="A145" t="s">
        <v>141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29.05</v>
      </c>
      <c r="J145">
        <v>76.260000000000005</v>
      </c>
      <c r="K145">
        <v>18772.98</v>
      </c>
      <c r="L145">
        <v>6683.48</v>
      </c>
      <c r="M145">
        <v>14130.05</v>
      </c>
      <c r="N145">
        <v>19845.849999999999</v>
      </c>
      <c r="O145">
        <f t="shared" si="52"/>
        <v>29.05</v>
      </c>
      <c r="P145">
        <f t="shared" si="53"/>
        <v>76.260000000000005</v>
      </c>
      <c r="Q145">
        <f t="shared" si="54"/>
        <v>18772.98</v>
      </c>
      <c r="R145">
        <f t="shared" si="55"/>
        <v>6683.48</v>
      </c>
      <c r="S145">
        <f t="shared" si="56"/>
        <v>14130.05</v>
      </c>
      <c r="T145">
        <f t="shared" si="57"/>
        <v>19845.849999999999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97.24</v>
      </c>
      <c r="AC145">
        <v>317.33</v>
      </c>
      <c r="AD145">
        <v>36000</v>
      </c>
      <c r="AE145">
        <v>36000</v>
      </c>
      <c r="AF145">
        <v>36000</v>
      </c>
      <c r="AG145">
        <v>36000</v>
      </c>
      <c r="AH145">
        <f t="shared" si="58"/>
        <v>97.24</v>
      </c>
      <c r="AI145">
        <f t="shared" si="59"/>
        <v>317.33</v>
      </c>
      <c r="AJ145">
        <f t="shared" si="60"/>
        <v>36000</v>
      </c>
      <c r="AK145">
        <f t="shared" si="61"/>
        <v>36000</v>
      </c>
      <c r="AL145">
        <f t="shared" si="62"/>
        <v>36000</v>
      </c>
      <c r="AM145">
        <f t="shared" si="63"/>
        <v>36000</v>
      </c>
      <c r="AO145">
        <f t="shared" si="64"/>
        <v>29.05</v>
      </c>
      <c r="AP145">
        <f t="shared" si="65"/>
        <v>76.260000000000005</v>
      </c>
      <c r="AQ145">
        <f t="shared" si="66"/>
        <v>18772.98</v>
      </c>
      <c r="AR145">
        <f t="shared" si="67"/>
        <v>6683.48</v>
      </c>
      <c r="AS145">
        <f t="shared" si="68"/>
        <v>14130.05</v>
      </c>
      <c r="AT145">
        <f t="shared" si="69"/>
        <v>19845.849999999999</v>
      </c>
      <c r="AU145">
        <f t="shared" si="70"/>
        <v>97.24</v>
      </c>
      <c r="AV145">
        <f t="shared" si="71"/>
        <v>317.33</v>
      </c>
      <c r="AW145">
        <f t="shared" si="72"/>
        <v>36000</v>
      </c>
      <c r="AX145">
        <f t="shared" si="73"/>
        <v>36000</v>
      </c>
      <c r="AY145">
        <f t="shared" si="74"/>
        <v>36000</v>
      </c>
      <c r="AZ145">
        <f t="shared" si="75"/>
        <v>36000</v>
      </c>
    </row>
    <row r="146" spans="1:52" x14ac:dyDescent="0.3">
      <c r="A146" t="s">
        <v>142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8.48</v>
      </c>
      <c r="J146">
        <v>9.01</v>
      </c>
      <c r="K146">
        <v>3649</v>
      </c>
      <c r="L146">
        <v>1079.55</v>
      </c>
      <c r="M146">
        <v>2939.01</v>
      </c>
      <c r="N146">
        <v>4358.18</v>
      </c>
      <c r="O146">
        <f t="shared" si="52"/>
        <v>8.48</v>
      </c>
      <c r="P146">
        <f t="shared" si="53"/>
        <v>9.01</v>
      </c>
      <c r="Q146">
        <f t="shared" si="54"/>
        <v>3649</v>
      </c>
      <c r="R146">
        <f t="shared" si="55"/>
        <v>1079.55</v>
      </c>
      <c r="S146">
        <f t="shared" si="56"/>
        <v>2939.01</v>
      </c>
      <c r="T146">
        <f t="shared" si="57"/>
        <v>4358.18</v>
      </c>
      <c r="V146">
        <v>1</v>
      </c>
      <c r="W146">
        <v>1</v>
      </c>
      <c r="X146">
        <v>-1</v>
      </c>
      <c r="Y146">
        <v>1</v>
      </c>
      <c r="Z146">
        <v>0</v>
      </c>
      <c r="AA146">
        <v>0</v>
      </c>
      <c r="AB146">
        <v>23.56</v>
      </c>
      <c r="AC146">
        <v>46.71</v>
      </c>
      <c r="AD146">
        <v>29953.67</v>
      </c>
      <c r="AE146">
        <v>25337.34</v>
      </c>
      <c r="AF146">
        <v>36000</v>
      </c>
      <c r="AG146">
        <v>36000</v>
      </c>
      <c r="AH146">
        <f t="shared" si="58"/>
        <v>23.56</v>
      </c>
      <c r="AI146">
        <f t="shared" si="59"/>
        <v>46.71</v>
      </c>
      <c r="AJ146" t="e">
        <f t="shared" si="60"/>
        <v>#N/A</v>
      </c>
      <c r="AK146">
        <f t="shared" si="61"/>
        <v>25337.34</v>
      </c>
      <c r="AL146">
        <f t="shared" si="62"/>
        <v>36000</v>
      </c>
      <c r="AM146">
        <f t="shared" si="63"/>
        <v>36000</v>
      </c>
      <c r="AO146">
        <f t="shared" si="64"/>
        <v>8.48</v>
      </c>
      <c r="AP146">
        <f t="shared" si="65"/>
        <v>9.01</v>
      </c>
      <c r="AQ146" t="e">
        <f t="shared" si="66"/>
        <v>#N/A</v>
      </c>
      <c r="AR146">
        <f t="shared" si="67"/>
        <v>1079.55</v>
      </c>
      <c r="AS146">
        <f t="shared" si="68"/>
        <v>2939.01</v>
      </c>
      <c r="AT146">
        <f t="shared" si="69"/>
        <v>4358.18</v>
      </c>
      <c r="AU146">
        <f t="shared" si="70"/>
        <v>23.56</v>
      </c>
      <c r="AV146">
        <f t="shared" si="71"/>
        <v>46.71</v>
      </c>
      <c r="AW146" t="e">
        <f t="shared" si="72"/>
        <v>#N/A</v>
      </c>
      <c r="AX146">
        <f t="shared" si="73"/>
        <v>25337.34</v>
      </c>
      <c r="AY146">
        <f t="shared" si="74"/>
        <v>36000</v>
      </c>
      <c r="AZ146">
        <f t="shared" si="75"/>
        <v>36000</v>
      </c>
    </row>
    <row r="147" spans="1:52" x14ac:dyDescent="0.3">
      <c r="A147" t="s">
        <v>143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1.18</v>
      </c>
      <c r="J147">
        <v>0.17</v>
      </c>
      <c r="K147">
        <v>12254.24</v>
      </c>
      <c r="L147">
        <v>11950.12</v>
      </c>
      <c r="M147">
        <v>11726.86</v>
      </c>
      <c r="N147">
        <v>16345.08</v>
      </c>
      <c r="O147">
        <f t="shared" si="52"/>
        <v>1.18</v>
      </c>
      <c r="P147">
        <f t="shared" si="53"/>
        <v>0.17</v>
      </c>
      <c r="Q147">
        <f t="shared" si="54"/>
        <v>12254.24</v>
      </c>
      <c r="R147">
        <f t="shared" si="55"/>
        <v>11950.12</v>
      </c>
      <c r="S147">
        <f t="shared" si="56"/>
        <v>11726.86</v>
      </c>
      <c r="T147">
        <f t="shared" si="57"/>
        <v>16345.08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1.22</v>
      </c>
      <c r="AC147">
        <v>0.11</v>
      </c>
      <c r="AD147">
        <v>14378.83</v>
      </c>
      <c r="AE147">
        <v>8879.43</v>
      </c>
      <c r="AF147">
        <v>15869.86</v>
      </c>
      <c r="AG147">
        <v>10094.82</v>
      </c>
      <c r="AH147">
        <f t="shared" si="58"/>
        <v>1.22</v>
      </c>
      <c r="AI147">
        <f t="shared" si="59"/>
        <v>0.11</v>
      </c>
      <c r="AJ147">
        <f t="shared" si="60"/>
        <v>14378.83</v>
      </c>
      <c r="AK147">
        <f t="shared" si="61"/>
        <v>8879.43</v>
      </c>
      <c r="AL147">
        <f t="shared" si="62"/>
        <v>15869.86</v>
      </c>
      <c r="AM147">
        <f t="shared" si="63"/>
        <v>10094.82</v>
      </c>
      <c r="AO147">
        <f t="shared" si="64"/>
        <v>1.18</v>
      </c>
      <c r="AP147">
        <f t="shared" si="65"/>
        <v>0.17</v>
      </c>
      <c r="AQ147">
        <f t="shared" si="66"/>
        <v>12254.24</v>
      </c>
      <c r="AR147">
        <f t="shared" si="67"/>
        <v>11950.12</v>
      </c>
      <c r="AS147">
        <f t="shared" si="68"/>
        <v>11726.86</v>
      </c>
      <c r="AT147">
        <f t="shared" si="69"/>
        <v>16345.08</v>
      </c>
      <c r="AU147">
        <f t="shared" si="70"/>
        <v>1.22</v>
      </c>
      <c r="AV147">
        <f t="shared" si="71"/>
        <v>0.11</v>
      </c>
      <c r="AW147">
        <f t="shared" si="72"/>
        <v>14378.83</v>
      </c>
      <c r="AX147">
        <f t="shared" si="73"/>
        <v>8879.43</v>
      </c>
      <c r="AY147">
        <f t="shared" si="74"/>
        <v>15869.86</v>
      </c>
      <c r="AZ147">
        <f t="shared" si="75"/>
        <v>10094.82</v>
      </c>
    </row>
    <row r="148" spans="1:52" x14ac:dyDescent="0.3">
      <c r="A148" t="s">
        <v>144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452.43</v>
      </c>
      <c r="J148">
        <v>26.94</v>
      </c>
      <c r="K148">
        <v>36000</v>
      </c>
      <c r="L148">
        <v>36000</v>
      </c>
      <c r="M148">
        <v>36000</v>
      </c>
      <c r="N148">
        <v>36000</v>
      </c>
      <c r="O148">
        <f t="shared" si="52"/>
        <v>452.43</v>
      </c>
      <c r="P148">
        <f t="shared" si="53"/>
        <v>26.94</v>
      </c>
      <c r="Q148">
        <f t="shared" si="54"/>
        <v>36000</v>
      </c>
      <c r="R148">
        <f t="shared" si="55"/>
        <v>36000</v>
      </c>
      <c r="S148">
        <f t="shared" si="56"/>
        <v>36000</v>
      </c>
      <c r="T148">
        <f t="shared" si="57"/>
        <v>36000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637.42999999999995</v>
      </c>
      <c r="AC148">
        <v>52.16</v>
      </c>
      <c r="AD148">
        <v>36000</v>
      </c>
      <c r="AE148">
        <v>36000</v>
      </c>
      <c r="AF148">
        <v>36000</v>
      </c>
      <c r="AG148">
        <v>36000</v>
      </c>
      <c r="AH148">
        <f t="shared" si="58"/>
        <v>637.42999999999995</v>
      </c>
      <c r="AI148">
        <f t="shared" si="59"/>
        <v>52.16</v>
      </c>
      <c r="AJ148">
        <f t="shared" si="60"/>
        <v>36000</v>
      </c>
      <c r="AK148">
        <f t="shared" si="61"/>
        <v>36000</v>
      </c>
      <c r="AL148">
        <f t="shared" si="62"/>
        <v>36000</v>
      </c>
      <c r="AM148">
        <f t="shared" si="63"/>
        <v>36000</v>
      </c>
      <c r="AO148">
        <f t="shared" si="64"/>
        <v>452.43</v>
      </c>
      <c r="AP148">
        <f t="shared" si="65"/>
        <v>26.94</v>
      </c>
      <c r="AQ148" t="e">
        <f t="shared" si="66"/>
        <v>#N/A</v>
      </c>
      <c r="AR148" t="e">
        <f t="shared" si="67"/>
        <v>#N/A</v>
      </c>
      <c r="AS148" t="e">
        <f t="shared" si="68"/>
        <v>#N/A</v>
      </c>
      <c r="AT148" t="e">
        <f t="shared" si="69"/>
        <v>#N/A</v>
      </c>
      <c r="AU148">
        <f t="shared" si="70"/>
        <v>637.42999999999995</v>
      </c>
      <c r="AV148">
        <f t="shared" si="71"/>
        <v>52.16</v>
      </c>
      <c r="AW148" t="e">
        <f t="shared" si="72"/>
        <v>#N/A</v>
      </c>
      <c r="AX148" t="e">
        <f t="shared" si="73"/>
        <v>#N/A</v>
      </c>
      <c r="AY148" t="e">
        <f t="shared" si="74"/>
        <v>#N/A</v>
      </c>
      <c r="AZ148" t="e">
        <f t="shared" si="75"/>
        <v>#N/A</v>
      </c>
    </row>
    <row r="149" spans="1:52" x14ac:dyDescent="0.3">
      <c r="A149" t="s">
        <v>145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794.28</v>
      </c>
      <c r="J149">
        <v>67.92</v>
      </c>
      <c r="K149">
        <v>36000</v>
      </c>
      <c r="L149">
        <v>36000</v>
      </c>
      <c r="M149">
        <v>36000</v>
      </c>
      <c r="N149">
        <v>36000</v>
      </c>
      <c r="O149">
        <f t="shared" si="52"/>
        <v>794.28</v>
      </c>
      <c r="P149">
        <f t="shared" si="53"/>
        <v>67.92</v>
      </c>
      <c r="Q149">
        <f t="shared" si="54"/>
        <v>36000</v>
      </c>
      <c r="R149">
        <f t="shared" si="55"/>
        <v>36000</v>
      </c>
      <c r="S149">
        <f t="shared" si="56"/>
        <v>36000</v>
      </c>
      <c r="T149">
        <f t="shared" si="57"/>
        <v>36000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1166.1600000000001</v>
      </c>
      <c r="AC149">
        <v>97.75</v>
      </c>
      <c r="AD149">
        <v>36000</v>
      </c>
      <c r="AE149">
        <v>36000</v>
      </c>
      <c r="AF149">
        <v>36000</v>
      </c>
      <c r="AG149">
        <v>36000</v>
      </c>
      <c r="AH149">
        <f t="shared" si="58"/>
        <v>1166.1600000000001</v>
      </c>
      <c r="AI149">
        <f t="shared" si="59"/>
        <v>97.75</v>
      </c>
      <c r="AJ149">
        <f t="shared" si="60"/>
        <v>36000</v>
      </c>
      <c r="AK149">
        <f t="shared" si="61"/>
        <v>36000</v>
      </c>
      <c r="AL149">
        <f t="shared" si="62"/>
        <v>36000</v>
      </c>
      <c r="AM149">
        <f t="shared" si="63"/>
        <v>36000</v>
      </c>
      <c r="AO149">
        <f t="shared" si="64"/>
        <v>794.28</v>
      </c>
      <c r="AP149">
        <f t="shared" si="65"/>
        <v>67.92</v>
      </c>
      <c r="AQ149" t="e">
        <f t="shared" si="66"/>
        <v>#N/A</v>
      </c>
      <c r="AR149" t="e">
        <f t="shared" si="67"/>
        <v>#N/A</v>
      </c>
      <c r="AS149" t="e">
        <f t="shared" si="68"/>
        <v>#N/A</v>
      </c>
      <c r="AT149" t="e">
        <f t="shared" si="69"/>
        <v>#N/A</v>
      </c>
      <c r="AU149">
        <f t="shared" si="70"/>
        <v>1166.1600000000001</v>
      </c>
      <c r="AV149">
        <f t="shared" si="71"/>
        <v>97.75</v>
      </c>
      <c r="AW149" t="e">
        <f t="shared" si="72"/>
        <v>#N/A</v>
      </c>
      <c r="AX149" t="e">
        <f t="shared" si="73"/>
        <v>#N/A</v>
      </c>
      <c r="AY149" t="e">
        <f t="shared" si="74"/>
        <v>#N/A</v>
      </c>
      <c r="AZ149" t="e">
        <f t="shared" si="75"/>
        <v>#N/A</v>
      </c>
    </row>
    <row r="150" spans="1:52" x14ac:dyDescent="0.3">
      <c r="A150" t="s">
        <v>146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3.58</v>
      </c>
      <c r="J150">
        <v>0.86</v>
      </c>
      <c r="K150">
        <v>36000</v>
      </c>
      <c r="L150">
        <v>36000</v>
      </c>
      <c r="M150">
        <v>36000</v>
      </c>
      <c r="N150">
        <v>36000</v>
      </c>
      <c r="O150">
        <f t="shared" si="52"/>
        <v>3.58</v>
      </c>
      <c r="P150">
        <f t="shared" si="53"/>
        <v>0.86</v>
      </c>
      <c r="Q150">
        <f t="shared" si="54"/>
        <v>36000</v>
      </c>
      <c r="R150">
        <f t="shared" si="55"/>
        <v>36000</v>
      </c>
      <c r="S150">
        <f t="shared" si="56"/>
        <v>36000</v>
      </c>
      <c r="T150">
        <f t="shared" si="57"/>
        <v>36000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2.57</v>
      </c>
      <c r="AC150">
        <v>0.73</v>
      </c>
      <c r="AD150">
        <v>36000</v>
      </c>
      <c r="AE150">
        <v>36000</v>
      </c>
      <c r="AF150">
        <v>36000</v>
      </c>
      <c r="AG150">
        <v>36000</v>
      </c>
      <c r="AH150">
        <f t="shared" si="58"/>
        <v>2.57</v>
      </c>
      <c r="AI150">
        <f t="shared" si="59"/>
        <v>0.73</v>
      </c>
      <c r="AJ150">
        <f t="shared" si="60"/>
        <v>36000</v>
      </c>
      <c r="AK150">
        <f t="shared" si="61"/>
        <v>36000</v>
      </c>
      <c r="AL150">
        <f t="shared" si="62"/>
        <v>36000</v>
      </c>
      <c r="AM150">
        <f t="shared" si="63"/>
        <v>36000</v>
      </c>
      <c r="AO150">
        <f t="shared" si="64"/>
        <v>3.58</v>
      </c>
      <c r="AP150">
        <f t="shared" si="65"/>
        <v>0.86</v>
      </c>
      <c r="AQ150" t="e">
        <f t="shared" si="66"/>
        <v>#N/A</v>
      </c>
      <c r="AR150" t="e">
        <f t="shared" si="67"/>
        <v>#N/A</v>
      </c>
      <c r="AS150" t="e">
        <f t="shared" si="68"/>
        <v>#N/A</v>
      </c>
      <c r="AT150" t="e">
        <f t="shared" si="69"/>
        <v>#N/A</v>
      </c>
      <c r="AU150">
        <f t="shared" si="70"/>
        <v>2.57</v>
      </c>
      <c r="AV150">
        <f t="shared" si="71"/>
        <v>0.73</v>
      </c>
      <c r="AW150" t="e">
        <f t="shared" si="72"/>
        <v>#N/A</v>
      </c>
      <c r="AX150" t="e">
        <f t="shared" si="73"/>
        <v>#N/A</v>
      </c>
      <c r="AY150" t="e">
        <f t="shared" si="74"/>
        <v>#N/A</v>
      </c>
      <c r="AZ150" t="e">
        <f t="shared" si="75"/>
        <v>#N/A</v>
      </c>
    </row>
    <row r="151" spans="1:52" x14ac:dyDescent="0.3">
      <c r="A151" t="s">
        <v>147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69.81</v>
      </c>
      <c r="J151">
        <v>22.49</v>
      </c>
      <c r="K151">
        <v>36000</v>
      </c>
      <c r="L151">
        <v>36000</v>
      </c>
      <c r="M151">
        <v>36000</v>
      </c>
      <c r="N151">
        <v>36000</v>
      </c>
      <c r="O151">
        <f t="shared" si="52"/>
        <v>69.81</v>
      </c>
      <c r="P151">
        <f t="shared" si="53"/>
        <v>22.49</v>
      </c>
      <c r="Q151">
        <f t="shared" si="54"/>
        <v>36000</v>
      </c>
      <c r="R151">
        <f t="shared" si="55"/>
        <v>36000</v>
      </c>
      <c r="S151">
        <f t="shared" si="56"/>
        <v>36000</v>
      </c>
      <c r="T151">
        <f t="shared" si="57"/>
        <v>36000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127.2</v>
      </c>
      <c r="AC151">
        <v>23.62</v>
      </c>
      <c r="AD151">
        <v>36000</v>
      </c>
      <c r="AE151">
        <v>36000</v>
      </c>
      <c r="AF151">
        <v>36000</v>
      </c>
      <c r="AG151">
        <v>36000</v>
      </c>
      <c r="AH151">
        <f t="shared" si="58"/>
        <v>127.2</v>
      </c>
      <c r="AI151">
        <f t="shared" si="59"/>
        <v>23.62</v>
      </c>
      <c r="AJ151">
        <f t="shared" si="60"/>
        <v>36000</v>
      </c>
      <c r="AK151">
        <f t="shared" si="61"/>
        <v>36000</v>
      </c>
      <c r="AL151">
        <f t="shared" si="62"/>
        <v>36000</v>
      </c>
      <c r="AM151">
        <f t="shared" si="63"/>
        <v>36000</v>
      </c>
      <c r="AO151">
        <f t="shared" si="64"/>
        <v>69.81</v>
      </c>
      <c r="AP151">
        <f t="shared" si="65"/>
        <v>22.49</v>
      </c>
      <c r="AQ151" t="e">
        <f t="shared" si="66"/>
        <v>#N/A</v>
      </c>
      <c r="AR151" t="e">
        <f t="shared" si="67"/>
        <v>#N/A</v>
      </c>
      <c r="AS151" t="e">
        <f t="shared" si="68"/>
        <v>#N/A</v>
      </c>
      <c r="AT151" t="e">
        <f t="shared" si="69"/>
        <v>#N/A</v>
      </c>
      <c r="AU151">
        <f t="shared" si="70"/>
        <v>127.2</v>
      </c>
      <c r="AV151">
        <f t="shared" si="71"/>
        <v>23.62</v>
      </c>
      <c r="AW151" t="e">
        <f t="shared" si="72"/>
        <v>#N/A</v>
      </c>
      <c r="AX151" t="e">
        <f t="shared" si="73"/>
        <v>#N/A</v>
      </c>
      <c r="AY151" t="e">
        <f t="shared" si="74"/>
        <v>#N/A</v>
      </c>
      <c r="AZ151" t="e">
        <f t="shared" si="75"/>
        <v>#N/A</v>
      </c>
    </row>
    <row r="152" spans="1:52" x14ac:dyDescent="0.3">
      <c r="A152" t="s">
        <v>148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599.02</v>
      </c>
      <c r="J152">
        <v>134.53</v>
      </c>
      <c r="K152">
        <v>36000</v>
      </c>
      <c r="L152">
        <v>36000</v>
      </c>
      <c r="M152">
        <v>36000</v>
      </c>
      <c r="N152">
        <v>36000</v>
      </c>
      <c r="O152">
        <f t="shared" si="52"/>
        <v>599.02</v>
      </c>
      <c r="P152">
        <f t="shared" si="53"/>
        <v>134.53</v>
      </c>
      <c r="Q152">
        <f t="shared" si="54"/>
        <v>36000</v>
      </c>
      <c r="R152">
        <f t="shared" si="55"/>
        <v>36000</v>
      </c>
      <c r="S152">
        <f t="shared" si="56"/>
        <v>36000</v>
      </c>
      <c r="T152">
        <f t="shared" si="57"/>
        <v>36000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516.17999999999995</v>
      </c>
      <c r="AC152">
        <v>191.5</v>
      </c>
      <c r="AD152">
        <v>36000</v>
      </c>
      <c r="AE152">
        <v>36000</v>
      </c>
      <c r="AF152">
        <v>36000</v>
      </c>
      <c r="AG152">
        <v>36000</v>
      </c>
      <c r="AH152">
        <f t="shared" si="58"/>
        <v>516.17999999999995</v>
      </c>
      <c r="AI152">
        <f t="shared" si="59"/>
        <v>191.5</v>
      </c>
      <c r="AJ152">
        <f t="shared" si="60"/>
        <v>36000</v>
      </c>
      <c r="AK152">
        <f t="shared" si="61"/>
        <v>36000</v>
      </c>
      <c r="AL152">
        <f t="shared" si="62"/>
        <v>36000</v>
      </c>
      <c r="AM152">
        <f t="shared" si="63"/>
        <v>36000</v>
      </c>
      <c r="AO152">
        <f t="shared" si="64"/>
        <v>599.02</v>
      </c>
      <c r="AP152">
        <f t="shared" si="65"/>
        <v>134.53</v>
      </c>
      <c r="AQ152" t="e">
        <f t="shared" si="66"/>
        <v>#N/A</v>
      </c>
      <c r="AR152" t="e">
        <f t="shared" si="67"/>
        <v>#N/A</v>
      </c>
      <c r="AS152" t="e">
        <f t="shared" si="68"/>
        <v>#N/A</v>
      </c>
      <c r="AT152" t="e">
        <f t="shared" si="69"/>
        <v>#N/A</v>
      </c>
      <c r="AU152">
        <f t="shared" si="70"/>
        <v>516.17999999999995</v>
      </c>
      <c r="AV152">
        <f t="shared" si="71"/>
        <v>191.5</v>
      </c>
      <c r="AW152" t="e">
        <f t="shared" si="72"/>
        <v>#N/A</v>
      </c>
      <c r="AX152" t="e">
        <f t="shared" si="73"/>
        <v>#N/A</v>
      </c>
      <c r="AY152" t="e">
        <f t="shared" si="74"/>
        <v>#N/A</v>
      </c>
      <c r="AZ152" t="e">
        <f t="shared" si="75"/>
        <v>#N/A</v>
      </c>
    </row>
    <row r="153" spans="1:52" x14ac:dyDescent="0.3">
      <c r="A153" t="s">
        <v>149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781.62</v>
      </c>
      <c r="J153">
        <v>627.25</v>
      </c>
      <c r="K153">
        <v>36000</v>
      </c>
      <c r="L153">
        <v>36000</v>
      </c>
      <c r="M153">
        <v>36000</v>
      </c>
      <c r="N153">
        <v>36000</v>
      </c>
      <c r="O153">
        <f t="shared" si="52"/>
        <v>781.62</v>
      </c>
      <c r="P153">
        <f t="shared" si="53"/>
        <v>627.25</v>
      </c>
      <c r="Q153">
        <f t="shared" si="54"/>
        <v>36000</v>
      </c>
      <c r="R153">
        <f t="shared" si="55"/>
        <v>36000</v>
      </c>
      <c r="S153">
        <f t="shared" si="56"/>
        <v>36000</v>
      </c>
      <c r="T153">
        <f t="shared" si="57"/>
        <v>36000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2163.0100000000002</v>
      </c>
      <c r="AC153">
        <v>2090.8000000000002</v>
      </c>
      <c r="AD153">
        <v>36000</v>
      </c>
      <c r="AE153">
        <v>36000</v>
      </c>
      <c r="AF153">
        <v>36000</v>
      </c>
      <c r="AG153">
        <v>36000</v>
      </c>
      <c r="AH153">
        <f t="shared" si="58"/>
        <v>2163.0100000000002</v>
      </c>
      <c r="AI153">
        <f t="shared" si="59"/>
        <v>2090.8000000000002</v>
      </c>
      <c r="AJ153">
        <f t="shared" si="60"/>
        <v>36000</v>
      </c>
      <c r="AK153">
        <f t="shared" si="61"/>
        <v>36000</v>
      </c>
      <c r="AL153">
        <f t="shared" si="62"/>
        <v>36000</v>
      </c>
      <c r="AM153">
        <f t="shared" si="63"/>
        <v>36000</v>
      </c>
      <c r="AO153">
        <f t="shared" si="64"/>
        <v>781.62</v>
      </c>
      <c r="AP153">
        <f t="shared" si="65"/>
        <v>627.25</v>
      </c>
      <c r="AQ153" t="e">
        <f t="shared" si="66"/>
        <v>#N/A</v>
      </c>
      <c r="AR153" t="e">
        <f t="shared" si="67"/>
        <v>#N/A</v>
      </c>
      <c r="AS153" t="e">
        <f t="shared" si="68"/>
        <v>#N/A</v>
      </c>
      <c r="AT153" t="e">
        <f t="shared" si="69"/>
        <v>#N/A</v>
      </c>
      <c r="AU153">
        <f t="shared" si="70"/>
        <v>2163.0100000000002</v>
      </c>
      <c r="AV153">
        <f t="shared" si="71"/>
        <v>2090.8000000000002</v>
      </c>
      <c r="AW153" t="e">
        <f t="shared" si="72"/>
        <v>#N/A</v>
      </c>
      <c r="AX153" t="e">
        <f t="shared" si="73"/>
        <v>#N/A</v>
      </c>
      <c r="AY153" t="e">
        <f t="shared" si="74"/>
        <v>#N/A</v>
      </c>
      <c r="AZ153" t="e">
        <f t="shared" si="75"/>
        <v>#N/A</v>
      </c>
    </row>
    <row r="154" spans="1:52" x14ac:dyDescent="0.3">
      <c r="A154" t="s">
        <v>150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36000</v>
      </c>
      <c r="J154">
        <v>25271.39</v>
      </c>
      <c r="K154">
        <v>36000</v>
      </c>
      <c r="L154">
        <v>36000</v>
      </c>
      <c r="M154">
        <v>36000</v>
      </c>
      <c r="N154">
        <v>36000</v>
      </c>
      <c r="O154">
        <f t="shared" si="52"/>
        <v>36000</v>
      </c>
      <c r="P154">
        <f t="shared" si="53"/>
        <v>25271.39</v>
      </c>
      <c r="Q154">
        <f t="shared" si="54"/>
        <v>36000</v>
      </c>
      <c r="R154">
        <f t="shared" si="55"/>
        <v>36000</v>
      </c>
      <c r="S154">
        <f t="shared" si="56"/>
        <v>36000</v>
      </c>
      <c r="T154">
        <f t="shared" si="57"/>
        <v>36000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36000</v>
      </c>
      <c r="AC154">
        <v>36000</v>
      </c>
      <c r="AD154">
        <v>36000</v>
      </c>
      <c r="AE154">
        <v>36000</v>
      </c>
      <c r="AF154">
        <v>36000</v>
      </c>
      <c r="AG154">
        <v>36000</v>
      </c>
      <c r="AH154">
        <f t="shared" si="58"/>
        <v>36000</v>
      </c>
      <c r="AI154">
        <f t="shared" si="59"/>
        <v>36000</v>
      </c>
      <c r="AJ154">
        <f t="shared" si="60"/>
        <v>36000</v>
      </c>
      <c r="AK154">
        <f t="shared" si="61"/>
        <v>36000</v>
      </c>
      <c r="AL154">
        <f t="shared" si="62"/>
        <v>36000</v>
      </c>
      <c r="AM154">
        <f t="shared" si="63"/>
        <v>36000</v>
      </c>
      <c r="AO154" t="e">
        <f t="shared" si="64"/>
        <v>#N/A</v>
      </c>
      <c r="AP154">
        <f t="shared" si="65"/>
        <v>25271.39</v>
      </c>
      <c r="AQ154" t="e">
        <f t="shared" si="66"/>
        <v>#N/A</v>
      </c>
      <c r="AR154" t="e">
        <f t="shared" si="67"/>
        <v>#N/A</v>
      </c>
      <c r="AS154" t="e">
        <f t="shared" si="68"/>
        <v>#N/A</v>
      </c>
      <c r="AT154" t="e">
        <f t="shared" si="69"/>
        <v>#N/A</v>
      </c>
      <c r="AU154" t="e">
        <f t="shared" si="70"/>
        <v>#N/A</v>
      </c>
      <c r="AV154">
        <f t="shared" si="71"/>
        <v>36000</v>
      </c>
      <c r="AW154" t="e">
        <f t="shared" si="72"/>
        <v>#N/A</v>
      </c>
      <c r="AX154" t="e">
        <f t="shared" si="73"/>
        <v>#N/A</v>
      </c>
      <c r="AY154" t="e">
        <f t="shared" si="74"/>
        <v>#N/A</v>
      </c>
      <c r="AZ154" t="e">
        <f t="shared" si="75"/>
        <v>#N/A</v>
      </c>
    </row>
    <row r="155" spans="1:52" x14ac:dyDescent="0.3">
      <c r="A155" t="s">
        <v>151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36000</v>
      </c>
      <c r="J155">
        <v>36000</v>
      </c>
      <c r="K155">
        <v>36000</v>
      </c>
      <c r="L155">
        <v>36000</v>
      </c>
      <c r="M155">
        <v>36000</v>
      </c>
      <c r="N155">
        <v>36000</v>
      </c>
      <c r="O155">
        <f t="shared" si="52"/>
        <v>36000</v>
      </c>
      <c r="P155">
        <f t="shared" si="53"/>
        <v>36000</v>
      </c>
      <c r="Q155">
        <f t="shared" si="54"/>
        <v>36000</v>
      </c>
      <c r="R155">
        <f t="shared" si="55"/>
        <v>36000</v>
      </c>
      <c r="S155">
        <f t="shared" si="56"/>
        <v>36000</v>
      </c>
      <c r="T155">
        <f t="shared" si="57"/>
        <v>36000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36000</v>
      </c>
      <c r="AC155">
        <v>36000</v>
      </c>
      <c r="AD155">
        <v>36000</v>
      </c>
      <c r="AE155">
        <v>36000</v>
      </c>
      <c r="AF155">
        <v>36000</v>
      </c>
      <c r="AG155">
        <v>36000</v>
      </c>
      <c r="AH155">
        <f t="shared" si="58"/>
        <v>36000</v>
      </c>
      <c r="AI155">
        <f t="shared" si="59"/>
        <v>36000</v>
      </c>
      <c r="AJ155">
        <f t="shared" si="60"/>
        <v>36000</v>
      </c>
      <c r="AK155">
        <f t="shared" si="61"/>
        <v>36000</v>
      </c>
      <c r="AL155">
        <f t="shared" si="62"/>
        <v>36000</v>
      </c>
      <c r="AM155">
        <f t="shared" si="63"/>
        <v>36000</v>
      </c>
      <c r="AO155" t="e">
        <f t="shared" si="64"/>
        <v>#N/A</v>
      </c>
      <c r="AP155" t="e">
        <f t="shared" si="65"/>
        <v>#N/A</v>
      </c>
      <c r="AQ155" t="e">
        <f t="shared" si="66"/>
        <v>#N/A</v>
      </c>
      <c r="AR155" t="e">
        <f t="shared" si="67"/>
        <v>#N/A</v>
      </c>
      <c r="AS155" t="e">
        <f t="shared" si="68"/>
        <v>#N/A</v>
      </c>
      <c r="AT155" t="e">
        <f t="shared" si="69"/>
        <v>#N/A</v>
      </c>
      <c r="AU155" t="e">
        <f t="shared" si="70"/>
        <v>#N/A</v>
      </c>
      <c r="AV155" t="e">
        <f t="shared" si="71"/>
        <v>#N/A</v>
      </c>
      <c r="AW155" t="e">
        <f t="shared" si="72"/>
        <v>#N/A</v>
      </c>
      <c r="AX155" t="e">
        <f t="shared" si="73"/>
        <v>#N/A</v>
      </c>
      <c r="AY155" t="e">
        <f t="shared" si="74"/>
        <v>#N/A</v>
      </c>
      <c r="AZ155" t="e">
        <f t="shared" si="75"/>
        <v>#N/A</v>
      </c>
    </row>
    <row r="156" spans="1:52" x14ac:dyDescent="0.3">
      <c r="A156" t="s">
        <v>152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23.35</v>
      </c>
      <c r="J156">
        <v>6.01</v>
      </c>
      <c r="K156">
        <v>36000</v>
      </c>
      <c r="L156">
        <v>36000</v>
      </c>
      <c r="M156">
        <v>36000</v>
      </c>
      <c r="N156">
        <v>36000</v>
      </c>
      <c r="O156">
        <f t="shared" si="52"/>
        <v>23.35</v>
      </c>
      <c r="P156">
        <f t="shared" si="53"/>
        <v>6.01</v>
      </c>
      <c r="Q156">
        <f t="shared" si="54"/>
        <v>36000</v>
      </c>
      <c r="R156">
        <f t="shared" si="55"/>
        <v>36000</v>
      </c>
      <c r="S156">
        <f t="shared" si="56"/>
        <v>36000</v>
      </c>
      <c r="T156">
        <f t="shared" si="57"/>
        <v>36000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19.89</v>
      </c>
      <c r="AC156">
        <v>5.53</v>
      </c>
      <c r="AD156">
        <v>36000</v>
      </c>
      <c r="AE156">
        <v>36000</v>
      </c>
      <c r="AF156">
        <v>36000</v>
      </c>
      <c r="AG156">
        <v>36000</v>
      </c>
      <c r="AH156">
        <f t="shared" si="58"/>
        <v>19.89</v>
      </c>
      <c r="AI156">
        <f t="shared" si="59"/>
        <v>5.53</v>
      </c>
      <c r="AJ156">
        <f t="shared" si="60"/>
        <v>36000</v>
      </c>
      <c r="AK156">
        <f t="shared" si="61"/>
        <v>36000</v>
      </c>
      <c r="AL156">
        <f t="shared" si="62"/>
        <v>36000</v>
      </c>
      <c r="AM156">
        <f t="shared" si="63"/>
        <v>36000</v>
      </c>
      <c r="AO156">
        <f t="shared" si="64"/>
        <v>23.35</v>
      </c>
      <c r="AP156">
        <f t="shared" si="65"/>
        <v>6.01</v>
      </c>
      <c r="AQ156" t="e">
        <f t="shared" si="66"/>
        <v>#N/A</v>
      </c>
      <c r="AR156" t="e">
        <f t="shared" si="67"/>
        <v>#N/A</v>
      </c>
      <c r="AS156" t="e">
        <f t="shared" si="68"/>
        <v>#N/A</v>
      </c>
      <c r="AT156" t="e">
        <f t="shared" si="69"/>
        <v>#N/A</v>
      </c>
      <c r="AU156">
        <f t="shared" si="70"/>
        <v>19.89</v>
      </c>
      <c r="AV156">
        <f t="shared" si="71"/>
        <v>5.53</v>
      </c>
      <c r="AW156" t="e">
        <f t="shared" si="72"/>
        <v>#N/A</v>
      </c>
      <c r="AX156" t="e">
        <f t="shared" si="73"/>
        <v>#N/A</v>
      </c>
      <c r="AY156" t="e">
        <f t="shared" si="74"/>
        <v>#N/A</v>
      </c>
      <c r="AZ156" t="e">
        <f t="shared" si="75"/>
        <v>#N/A</v>
      </c>
    </row>
    <row r="157" spans="1:52" x14ac:dyDescent="0.3">
      <c r="A157" t="s">
        <v>153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8143.88</v>
      </c>
      <c r="J157">
        <v>526.27</v>
      </c>
      <c r="K157">
        <v>36000</v>
      </c>
      <c r="L157">
        <v>36000</v>
      </c>
      <c r="M157">
        <v>36000</v>
      </c>
      <c r="N157">
        <v>36000</v>
      </c>
      <c r="O157">
        <f t="shared" si="52"/>
        <v>8143.88</v>
      </c>
      <c r="P157">
        <f t="shared" si="53"/>
        <v>526.27</v>
      </c>
      <c r="Q157">
        <f t="shared" si="54"/>
        <v>36000</v>
      </c>
      <c r="R157">
        <f t="shared" si="55"/>
        <v>36000</v>
      </c>
      <c r="S157">
        <f t="shared" si="56"/>
        <v>36000</v>
      </c>
      <c r="T157">
        <f t="shared" si="57"/>
        <v>36000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5470.47</v>
      </c>
      <c r="AC157">
        <v>944.21</v>
      </c>
      <c r="AD157">
        <v>36000</v>
      </c>
      <c r="AE157">
        <v>36000</v>
      </c>
      <c r="AF157">
        <v>36000</v>
      </c>
      <c r="AG157">
        <v>36000</v>
      </c>
      <c r="AH157">
        <f t="shared" si="58"/>
        <v>5470.47</v>
      </c>
      <c r="AI157">
        <f t="shared" si="59"/>
        <v>944.21</v>
      </c>
      <c r="AJ157">
        <f t="shared" si="60"/>
        <v>36000</v>
      </c>
      <c r="AK157">
        <f t="shared" si="61"/>
        <v>36000</v>
      </c>
      <c r="AL157">
        <f t="shared" si="62"/>
        <v>36000</v>
      </c>
      <c r="AM157">
        <f t="shared" si="63"/>
        <v>36000</v>
      </c>
      <c r="AO157">
        <f t="shared" si="64"/>
        <v>8143.88</v>
      </c>
      <c r="AP157">
        <f t="shared" si="65"/>
        <v>526.27</v>
      </c>
      <c r="AQ157" t="e">
        <f t="shared" si="66"/>
        <v>#N/A</v>
      </c>
      <c r="AR157" t="e">
        <f t="shared" si="67"/>
        <v>#N/A</v>
      </c>
      <c r="AS157" t="e">
        <f t="shared" si="68"/>
        <v>#N/A</v>
      </c>
      <c r="AT157" t="e">
        <f t="shared" si="69"/>
        <v>#N/A</v>
      </c>
      <c r="AU157">
        <f t="shared" si="70"/>
        <v>5470.47</v>
      </c>
      <c r="AV157">
        <f t="shared" si="71"/>
        <v>944.21</v>
      </c>
      <c r="AW157" t="e">
        <f t="shared" si="72"/>
        <v>#N/A</v>
      </c>
      <c r="AX157" t="e">
        <f t="shared" si="73"/>
        <v>#N/A</v>
      </c>
      <c r="AY157" t="e">
        <f t="shared" si="74"/>
        <v>#N/A</v>
      </c>
      <c r="AZ157" t="e">
        <f t="shared" si="75"/>
        <v>#N/A</v>
      </c>
    </row>
    <row r="158" spans="1:52" x14ac:dyDescent="0.3">
      <c r="A158" t="s">
        <v>154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36000</v>
      </c>
      <c r="J158">
        <v>9667.59</v>
      </c>
      <c r="K158">
        <v>36000</v>
      </c>
      <c r="L158">
        <v>36000</v>
      </c>
      <c r="M158">
        <v>36000</v>
      </c>
      <c r="N158">
        <v>36000</v>
      </c>
      <c r="O158">
        <f t="shared" si="52"/>
        <v>36000</v>
      </c>
      <c r="P158">
        <f t="shared" si="53"/>
        <v>9667.59</v>
      </c>
      <c r="Q158">
        <f t="shared" si="54"/>
        <v>36000</v>
      </c>
      <c r="R158">
        <f t="shared" si="55"/>
        <v>36000</v>
      </c>
      <c r="S158">
        <f t="shared" si="56"/>
        <v>36000</v>
      </c>
      <c r="T158">
        <f t="shared" si="57"/>
        <v>36000</v>
      </c>
      <c r="V158">
        <v>0</v>
      </c>
      <c r="W158">
        <v>1</v>
      </c>
      <c r="X158">
        <v>0</v>
      </c>
      <c r="Y158">
        <v>0</v>
      </c>
      <c r="Z158">
        <v>-99</v>
      </c>
      <c r="AA158">
        <v>0</v>
      </c>
      <c r="AB158">
        <v>36000</v>
      </c>
      <c r="AC158">
        <v>14112.16</v>
      </c>
      <c r="AD158">
        <v>36000</v>
      </c>
      <c r="AE158">
        <v>36000</v>
      </c>
      <c r="AF158">
        <v>-99</v>
      </c>
      <c r="AG158">
        <v>36000</v>
      </c>
      <c r="AH158">
        <f t="shared" si="58"/>
        <v>36000</v>
      </c>
      <c r="AI158">
        <f t="shared" si="59"/>
        <v>14112.16</v>
      </c>
      <c r="AJ158">
        <f t="shared" si="60"/>
        <v>36000</v>
      </c>
      <c r="AK158">
        <f t="shared" si="61"/>
        <v>36000</v>
      </c>
      <c r="AL158" t="e">
        <f t="shared" si="62"/>
        <v>#N/A</v>
      </c>
      <c r="AM158">
        <f t="shared" si="63"/>
        <v>36000</v>
      </c>
      <c r="AO158" t="e">
        <f t="shared" si="64"/>
        <v>#N/A</v>
      </c>
      <c r="AP158">
        <f t="shared" si="65"/>
        <v>9667.59</v>
      </c>
      <c r="AQ158" t="e">
        <f t="shared" si="66"/>
        <v>#N/A</v>
      </c>
      <c r="AR158" t="e">
        <f t="shared" si="67"/>
        <v>#N/A</v>
      </c>
      <c r="AS158" t="e">
        <f t="shared" si="68"/>
        <v>#N/A</v>
      </c>
      <c r="AT158" t="e">
        <f t="shared" si="69"/>
        <v>#N/A</v>
      </c>
      <c r="AU158" t="e">
        <f t="shared" si="70"/>
        <v>#N/A</v>
      </c>
      <c r="AV158">
        <f t="shared" si="71"/>
        <v>14112.16</v>
      </c>
      <c r="AW158" t="e">
        <f t="shared" si="72"/>
        <v>#N/A</v>
      </c>
      <c r="AX158" t="e">
        <f t="shared" si="73"/>
        <v>#N/A</v>
      </c>
      <c r="AY158" t="e">
        <f t="shared" si="74"/>
        <v>#N/A</v>
      </c>
      <c r="AZ158" t="e">
        <f t="shared" si="75"/>
        <v>#N/A</v>
      </c>
    </row>
    <row r="159" spans="1:52" x14ac:dyDescent="0.3">
      <c r="A159" t="s">
        <v>155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66.239999999999995</v>
      </c>
      <c r="J159">
        <v>31.31</v>
      </c>
      <c r="K159">
        <v>36000</v>
      </c>
      <c r="L159">
        <v>36000</v>
      </c>
      <c r="M159">
        <v>36000</v>
      </c>
      <c r="N159">
        <v>36000</v>
      </c>
      <c r="O159">
        <f t="shared" si="52"/>
        <v>66.239999999999995</v>
      </c>
      <c r="P159">
        <f t="shared" si="53"/>
        <v>31.31</v>
      </c>
      <c r="Q159">
        <f t="shared" si="54"/>
        <v>36000</v>
      </c>
      <c r="R159">
        <f t="shared" si="55"/>
        <v>36000</v>
      </c>
      <c r="S159">
        <f t="shared" si="56"/>
        <v>36000</v>
      </c>
      <c r="T159">
        <f t="shared" si="57"/>
        <v>36000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87.11</v>
      </c>
      <c r="AC159">
        <v>64.19</v>
      </c>
      <c r="AD159">
        <v>36000</v>
      </c>
      <c r="AE159">
        <v>36000</v>
      </c>
      <c r="AF159">
        <v>36000</v>
      </c>
      <c r="AG159">
        <v>36000</v>
      </c>
      <c r="AH159">
        <f t="shared" si="58"/>
        <v>87.11</v>
      </c>
      <c r="AI159">
        <f t="shared" si="59"/>
        <v>64.19</v>
      </c>
      <c r="AJ159">
        <f t="shared" si="60"/>
        <v>36000</v>
      </c>
      <c r="AK159">
        <f t="shared" si="61"/>
        <v>36000</v>
      </c>
      <c r="AL159">
        <f t="shared" si="62"/>
        <v>36000</v>
      </c>
      <c r="AM159">
        <f t="shared" si="63"/>
        <v>36000</v>
      </c>
      <c r="AO159">
        <f t="shared" si="64"/>
        <v>66.239999999999995</v>
      </c>
      <c r="AP159">
        <f t="shared" si="65"/>
        <v>31.31</v>
      </c>
      <c r="AQ159" t="e">
        <f t="shared" si="66"/>
        <v>#N/A</v>
      </c>
      <c r="AR159" t="e">
        <f t="shared" si="67"/>
        <v>#N/A</v>
      </c>
      <c r="AS159" t="e">
        <f t="shared" si="68"/>
        <v>#N/A</v>
      </c>
      <c r="AT159" t="e">
        <f t="shared" si="69"/>
        <v>#N/A</v>
      </c>
      <c r="AU159">
        <f t="shared" si="70"/>
        <v>87.11</v>
      </c>
      <c r="AV159">
        <f t="shared" si="71"/>
        <v>64.19</v>
      </c>
      <c r="AW159" t="e">
        <f t="shared" si="72"/>
        <v>#N/A</v>
      </c>
      <c r="AX159" t="e">
        <f t="shared" si="73"/>
        <v>#N/A</v>
      </c>
      <c r="AY159" t="e">
        <f t="shared" si="74"/>
        <v>#N/A</v>
      </c>
      <c r="AZ159" t="e">
        <f t="shared" si="75"/>
        <v>#N/A</v>
      </c>
    </row>
    <row r="160" spans="1:52" x14ac:dyDescent="0.3">
      <c r="A160" t="s">
        <v>156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10556.63</v>
      </c>
      <c r="J160">
        <v>3724.76</v>
      </c>
      <c r="K160">
        <v>36000</v>
      </c>
      <c r="L160">
        <v>36000</v>
      </c>
      <c r="M160">
        <v>36000</v>
      </c>
      <c r="N160">
        <v>36000</v>
      </c>
      <c r="O160">
        <f t="shared" si="52"/>
        <v>10556.63</v>
      </c>
      <c r="P160">
        <f t="shared" si="53"/>
        <v>3724.76</v>
      </c>
      <c r="Q160">
        <f t="shared" si="54"/>
        <v>36000</v>
      </c>
      <c r="R160">
        <f t="shared" si="55"/>
        <v>36000</v>
      </c>
      <c r="S160">
        <f t="shared" si="56"/>
        <v>36000</v>
      </c>
      <c r="T160">
        <f t="shared" si="57"/>
        <v>36000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25484.22</v>
      </c>
      <c r="AC160">
        <v>5975.06</v>
      </c>
      <c r="AD160">
        <v>36000</v>
      </c>
      <c r="AE160">
        <v>36000</v>
      </c>
      <c r="AF160">
        <v>36000</v>
      </c>
      <c r="AG160">
        <v>36000</v>
      </c>
      <c r="AH160">
        <f t="shared" si="58"/>
        <v>25484.22</v>
      </c>
      <c r="AI160">
        <f t="shared" si="59"/>
        <v>5975.06</v>
      </c>
      <c r="AJ160">
        <f t="shared" si="60"/>
        <v>36000</v>
      </c>
      <c r="AK160">
        <f t="shared" si="61"/>
        <v>36000</v>
      </c>
      <c r="AL160">
        <f t="shared" si="62"/>
        <v>36000</v>
      </c>
      <c r="AM160">
        <f t="shared" si="63"/>
        <v>36000</v>
      </c>
      <c r="AO160">
        <f t="shared" si="64"/>
        <v>10556.63</v>
      </c>
      <c r="AP160">
        <f t="shared" si="65"/>
        <v>3724.76</v>
      </c>
      <c r="AQ160" t="e">
        <f t="shared" si="66"/>
        <v>#N/A</v>
      </c>
      <c r="AR160" t="e">
        <f t="shared" si="67"/>
        <v>#N/A</v>
      </c>
      <c r="AS160" t="e">
        <f t="shared" si="68"/>
        <v>#N/A</v>
      </c>
      <c r="AT160" t="e">
        <f t="shared" si="69"/>
        <v>#N/A</v>
      </c>
      <c r="AU160">
        <f t="shared" si="70"/>
        <v>25484.22</v>
      </c>
      <c r="AV160">
        <f t="shared" si="71"/>
        <v>5975.06</v>
      </c>
      <c r="AW160" t="e">
        <f t="shared" si="72"/>
        <v>#N/A</v>
      </c>
      <c r="AX160" t="e">
        <f t="shared" si="73"/>
        <v>#N/A</v>
      </c>
      <c r="AY160" t="e">
        <f t="shared" si="74"/>
        <v>#N/A</v>
      </c>
      <c r="AZ160" t="e">
        <f t="shared" si="75"/>
        <v>#N/A</v>
      </c>
    </row>
    <row r="161" spans="1:52" x14ac:dyDescent="0.3">
      <c r="A161" t="s">
        <v>157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36000</v>
      </c>
      <c r="J161">
        <v>36000</v>
      </c>
      <c r="K161">
        <v>36000</v>
      </c>
      <c r="L161">
        <v>36000</v>
      </c>
      <c r="M161">
        <v>36000</v>
      </c>
      <c r="N161">
        <v>36000</v>
      </c>
      <c r="O161">
        <f t="shared" si="52"/>
        <v>36000</v>
      </c>
      <c r="P161">
        <f t="shared" si="53"/>
        <v>36000</v>
      </c>
      <c r="Q161">
        <f t="shared" si="54"/>
        <v>36000</v>
      </c>
      <c r="R161">
        <f t="shared" si="55"/>
        <v>36000</v>
      </c>
      <c r="S161">
        <f t="shared" si="56"/>
        <v>36000</v>
      </c>
      <c r="T161">
        <f t="shared" si="57"/>
        <v>36000</v>
      </c>
      <c r="V161">
        <v>0</v>
      </c>
      <c r="W161">
        <v>0</v>
      </c>
      <c r="X161">
        <v>0</v>
      </c>
      <c r="Y161">
        <v>0</v>
      </c>
      <c r="Z161">
        <v>-99</v>
      </c>
      <c r="AA161">
        <v>0</v>
      </c>
      <c r="AB161">
        <v>36000</v>
      </c>
      <c r="AC161">
        <v>36000</v>
      </c>
      <c r="AD161">
        <v>36000</v>
      </c>
      <c r="AE161">
        <v>36000</v>
      </c>
      <c r="AF161">
        <v>-99</v>
      </c>
      <c r="AG161">
        <v>36000</v>
      </c>
      <c r="AH161">
        <f t="shared" si="58"/>
        <v>36000</v>
      </c>
      <c r="AI161">
        <f t="shared" si="59"/>
        <v>36000</v>
      </c>
      <c r="AJ161">
        <f t="shared" si="60"/>
        <v>36000</v>
      </c>
      <c r="AK161">
        <f t="shared" si="61"/>
        <v>36000</v>
      </c>
      <c r="AL161" t="e">
        <f t="shared" si="62"/>
        <v>#N/A</v>
      </c>
      <c r="AM161">
        <f t="shared" si="63"/>
        <v>36000</v>
      </c>
      <c r="AO161" t="e">
        <f t="shared" si="64"/>
        <v>#N/A</v>
      </c>
      <c r="AP161" t="e">
        <f t="shared" si="65"/>
        <v>#N/A</v>
      </c>
      <c r="AQ161" t="e">
        <f t="shared" si="66"/>
        <v>#N/A</v>
      </c>
      <c r="AR161" t="e">
        <f t="shared" si="67"/>
        <v>#N/A</v>
      </c>
      <c r="AS161" t="e">
        <f t="shared" si="68"/>
        <v>#N/A</v>
      </c>
      <c r="AT161" t="e">
        <f t="shared" si="69"/>
        <v>#N/A</v>
      </c>
      <c r="AU161" t="e">
        <f t="shared" si="70"/>
        <v>#N/A</v>
      </c>
      <c r="AV161" t="e">
        <f t="shared" si="71"/>
        <v>#N/A</v>
      </c>
      <c r="AW161" t="e">
        <f t="shared" si="72"/>
        <v>#N/A</v>
      </c>
      <c r="AX161" t="e">
        <f t="shared" si="73"/>
        <v>#N/A</v>
      </c>
      <c r="AY161" t="e">
        <f t="shared" si="74"/>
        <v>#N/A</v>
      </c>
      <c r="AZ161" t="e">
        <f t="shared" si="75"/>
        <v>#N/A</v>
      </c>
    </row>
    <row r="162" spans="1:52" x14ac:dyDescent="0.3">
      <c r="A162" t="s">
        <v>158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5347.69</v>
      </c>
      <c r="J162">
        <v>4878.29</v>
      </c>
      <c r="K162">
        <v>36000</v>
      </c>
      <c r="L162">
        <v>36000</v>
      </c>
      <c r="M162">
        <v>36000</v>
      </c>
      <c r="N162">
        <v>36000</v>
      </c>
      <c r="O162">
        <f t="shared" si="52"/>
        <v>5347.69</v>
      </c>
      <c r="P162">
        <f t="shared" si="53"/>
        <v>4878.29</v>
      </c>
      <c r="Q162">
        <f t="shared" si="54"/>
        <v>36000</v>
      </c>
      <c r="R162">
        <f t="shared" si="55"/>
        <v>36000</v>
      </c>
      <c r="S162">
        <f t="shared" si="56"/>
        <v>36000</v>
      </c>
      <c r="T162">
        <f t="shared" si="57"/>
        <v>36000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15825.32</v>
      </c>
      <c r="AC162">
        <v>12591.59</v>
      </c>
      <c r="AD162">
        <v>36000</v>
      </c>
      <c r="AE162">
        <v>36000</v>
      </c>
      <c r="AF162">
        <v>36000</v>
      </c>
      <c r="AG162">
        <v>36000</v>
      </c>
      <c r="AH162">
        <f t="shared" si="58"/>
        <v>15825.32</v>
      </c>
      <c r="AI162">
        <f t="shared" si="59"/>
        <v>12591.59</v>
      </c>
      <c r="AJ162">
        <f t="shared" si="60"/>
        <v>36000</v>
      </c>
      <c r="AK162">
        <f t="shared" si="61"/>
        <v>36000</v>
      </c>
      <c r="AL162">
        <f t="shared" si="62"/>
        <v>36000</v>
      </c>
      <c r="AM162">
        <f t="shared" si="63"/>
        <v>36000</v>
      </c>
      <c r="AO162">
        <f t="shared" si="64"/>
        <v>5347.69</v>
      </c>
      <c r="AP162">
        <f t="shared" si="65"/>
        <v>4878.29</v>
      </c>
      <c r="AQ162" t="e">
        <f t="shared" si="66"/>
        <v>#N/A</v>
      </c>
      <c r="AR162" t="e">
        <f t="shared" si="67"/>
        <v>#N/A</v>
      </c>
      <c r="AS162" t="e">
        <f t="shared" si="68"/>
        <v>#N/A</v>
      </c>
      <c r="AT162" t="e">
        <f t="shared" si="69"/>
        <v>#N/A</v>
      </c>
      <c r="AU162">
        <f t="shared" si="70"/>
        <v>15825.32</v>
      </c>
      <c r="AV162">
        <f t="shared" si="71"/>
        <v>12591.59</v>
      </c>
      <c r="AW162" t="e">
        <f t="shared" si="72"/>
        <v>#N/A</v>
      </c>
      <c r="AX162" t="e">
        <f t="shared" si="73"/>
        <v>#N/A</v>
      </c>
      <c r="AY162" t="e">
        <f t="shared" si="74"/>
        <v>#N/A</v>
      </c>
      <c r="AZ162" t="e">
        <f t="shared" si="75"/>
        <v>#N/A</v>
      </c>
    </row>
    <row r="163" spans="1:52" x14ac:dyDescent="0.3">
      <c r="A163" t="s">
        <v>159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36000</v>
      </c>
      <c r="J163">
        <v>36000</v>
      </c>
      <c r="K163">
        <v>36000</v>
      </c>
      <c r="L163">
        <v>36000</v>
      </c>
      <c r="M163">
        <v>36000</v>
      </c>
      <c r="N163">
        <v>36000</v>
      </c>
      <c r="O163">
        <f t="shared" si="52"/>
        <v>36000</v>
      </c>
      <c r="P163">
        <f t="shared" si="53"/>
        <v>36000</v>
      </c>
      <c r="Q163">
        <f t="shared" si="54"/>
        <v>36000</v>
      </c>
      <c r="R163">
        <f t="shared" si="55"/>
        <v>36000</v>
      </c>
      <c r="S163">
        <f t="shared" si="56"/>
        <v>36000</v>
      </c>
      <c r="T163">
        <f t="shared" si="57"/>
        <v>36000</v>
      </c>
      <c r="V163">
        <v>0</v>
      </c>
      <c r="W163">
        <v>0</v>
      </c>
      <c r="X163">
        <v>-1</v>
      </c>
      <c r="Y163">
        <v>0</v>
      </c>
      <c r="Z163">
        <v>0</v>
      </c>
      <c r="AA163">
        <v>0</v>
      </c>
      <c r="AB163">
        <v>36000</v>
      </c>
      <c r="AC163">
        <v>36000</v>
      </c>
      <c r="AD163">
        <v>36000</v>
      </c>
      <c r="AE163">
        <v>36000</v>
      </c>
      <c r="AF163">
        <v>36000</v>
      </c>
      <c r="AG163">
        <v>36000</v>
      </c>
      <c r="AH163">
        <f t="shared" si="58"/>
        <v>36000</v>
      </c>
      <c r="AI163">
        <f t="shared" si="59"/>
        <v>36000</v>
      </c>
      <c r="AJ163" t="e">
        <f t="shared" si="60"/>
        <v>#N/A</v>
      </c>
      <c r="AK163">
        <f t="shared" si="61"/>
        <v>36000</v>
      </c>
      <c r="AL163">
        <f t="shared" si="62"/>
        <v>36000</v>
      </c>
      <c r="AM163">
        <f t="shared" si="63"/>
        <v>36000</v>
      </c>
      <c r="AO163" t="e">
        <f t="shared" si="64"/>
        <v>#N/A</v>
      </c>
      <c r="AP163" t="e">
        <f t="shared" si="65"/>
        <v>#N/A</v>
      </c>
      <c r="AQ163" t="e">
        <f t="shared" si="66"/>
        <v>#N/A</v>
      </c>
      <c r="AR163" t="e">
        <f t="shared" si="67"/>
        <v>#N/A</v>
      </c>
      <c r="AS163" t="e">
        <f t="shared" si="68"/>
        <v>#N/A</v>
      </c>
      <c r="AT163" t="e">
        <f t="shared" si="69"/>
        <v>#N/A</v>
      </c>
      <c r="AU163" t="e">
        <f t="shared" si="70"/>
        <v>#N/A</v>
      </c>
      <c r="AV163" t="e">
        <f t="shared" si="71"/>
        <v>#N/A</v>
      </c>
      <c r="AW163" t="e">
        <f t="shared" si="72"/>
        <v>#N/A</v>
      </c>
      <c r="AX163" t="e">
        <f t="shared" si="73"/>
        <v>#N/A</v>
      </c>
      <c r="AY163" t="e">
        <f t="shared" si="74"/>
        <v>#N/A</v>
      </c>
      <c r="AZ163" t="e">
        <f t="shared" si="75"/>
        <v>#N/A</v>
      </c>
    </row>
    <row r="164" spans="1:52" x14ac:dyDescent="0.3">
      <c r="A164" t="s">
        <v>160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36000</v>
      </c>
      <c r="J164">
        <v>36000</v>
      </c>
      <c r="K164">
        <v>36000</v>
      </c>
      <c r="L164">
        <v>36000</v>
      </c>
      <c r="M164">
        <v>36000</v>
      </c>
      <c r="N164">
        <v>36000</v>
      </c>
      <c r="O164">
        <f t="shared" si="52"/>
        <v>36000</v>
      </c>
      <c r="P164">
        <f t="shared" si="53"/>
        <v>36000</v>
      </c>
      <c r="Q164">
        <f t="shared" si="54"/>
        <v>36000</v>
      </c>
      <c r="R164">
        <f t="shared" si="55"/>
        <v>36000</v>
      </c>
      <c r="S164">
        <f t="shared" si="56"/>
        <v>36000</v>
      </c>
      <c r="T164">
        <f t="shared" si="57"/>
        <v>36000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0</v>
      </c>
      <c r="AB164">
        <v>36000</v>
      </c>
      <c r="AC164">
        <v>36000</v>
      </c>
      <c r="AD164">
        <v>36000</v>
      </c>
      <c r="AE164">
        <v>36000</v>
      </c>
      <c r="AF164">
        <v>36000</v>
      </c>
      <c r="AG164">
        <v>36000</v>
      </c>
      <c r="AH164">
        <f t="shared" si="58"/>
        <v>36000</v>
      </c>
      <c r="AI164">
        <f t="shared" si="59"/>
        <v>36000</v>
      </c>
      <c r="AJ164">
        <f t="shared" si="60"/>
        <v>36000</v>
      </c>
      <c r="AK164">
        <f t="shared" si="61"/>
        <v>36000</v>
      </c>
      <c r="AL164" t="e">
        <f t="shared" si="62"/>
        <v>#N/A</v>
      </c>
      <c r="AM164">
        <f t="shared" si="63"/>
        <v>36000</v>
      </c>
      <c r="AO164" t="e">
        <f t="shared" si="64"/>
        <v>#N/A</v>
      </c>
      <c r="AP164" t="e">
        <f t="shared" si="65"/>
        <v>#N/A</v>
      </c>
      <c r="AQ164" t="e">
        <f t="shared" si="66"/>
        <v>#N/A</v>
      </c>
      <c r="AR164" t="e">
        <f t="shared" si="67"/>
        <v>#N/A</v>
      </c>
      <c r="AS164" t="e">
        <f t="shared" si="68"/>
        <v>#N/A</v>
      </c>
      <c r="AT164" t="e">
        <f t="shared" si="69"/>
        <v>#N/A</v>
      </c>
      <c r="AU164" t="e">
        <f t="shared" si="70"/>
        <v>#N/A</v>
      </c>
      <c r="AV164" t="e">
        <f t="shared" si="71"/>
        <v>#N/A</v>
      </c>
      <c r="AW164" t="e">
        <f t="shared" si="72"/>
        <v>#N/A</v>
      </c>
      <c r="AX164" t="e">
        <f t="shared" si="73"/>
        <v>#N/A</v>
      </c>
      <c r="AY164" t="e">
        <f t="shared" si="74"/>
        <v>#N/A</v>
      </c>
      <c r="AZ164" t="e">
        <f t="shared" si="75"/>
        <v>#N/A</v>
      </c>
    </row>
    <row r="165" spans="1:52" x14ac:dyDescent="0.3">
      <c r="A165" t="s">
        <v>161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3508.45</v>
      </c>
      <c r="J165">
        <v>669.82</v>
      </c>
      <c r="K165">
        <v>36000</v>
      </c>
      <c r="L165">
        <v>36000</v>
      </c>
      <c r="M165">
        <v>36000</v>
      </c>
      <c r="N165">
        <v>36000</v>
      </c>
      <c r="O165">
        <f t="shared" si="52"/>
        <v>3508.45</v>
      </c>
      <c r="P165">
        <f t="shared" si="53"/>
        <v>669.82</v>
      </c>
      <c r="Q165">
        <f t="shared" si="54"/>
        <v>36000</v>
      </c>
      <c r="R165">
        <f t="shared" si="55"/>
        <v>36000</v>
      </c>
      <c r="S165">
        <f t="shared" si="56"/>
        <v>36000</v>
      </c>
      <c r="T165">
        <f t="shared" si="57"/>
        <v>36000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5163.1499999999996</v>
      </c>
      <c r="AC165">
        <v>5592.56</v>
      </c>
      <c r="AD165">
        <v>36000</v>
      </c>
      <c r="AE165">
        <v>36000</v>
      </c>
      <c r="AF165">
        <v>36000</v>
      </c>
      <c r="AG165">
        <v>36000</v>
      </c>
      <c r="AH165">
        <f t="shared" si="58"/>
        <v>5163.1499999999996</v>
      </c>
      <c r="AI165">
        <f t="shared" si="59"/>
        <v>5592.56</v>
      </c>
      <c r="AJ165">
        <f t="shared" si="60"/>
        <v>36000</v>
      </c>
      <c r="AK165">
        <f t="shared" si="61"/>
        <v>36000</v>
      </c>
      <c r="AL165">
        <f t="shared" si="62"/>
        <v>36000</v>
      </c>
      <c r="AM165">
        <f t="shared" si="63"/>
        <v>36000</v>
      </c>
      <c r="AO165">
        <f t="shared" si="64"/>
        <v>3508.45</v>
      </c>
      <c r="AP165">
        <f t="shared" si="65"/>
        <v>669.82</v>
      </c>
      <c r="AQ165" t="e">
        <f t="shared" si="66"/>
        <v>#N/A</v>
      </c>
      <c r="AR165" t="e">
        <f t="shared" si="67"/>
        <v>#N/A</v>
      </c>
      <c r="AS165" t="e">
        <f t="shared" si="68"/>
        <v>#N/A</v>
      </c>
      <c r="AT165" t="e">
        <f t="shared" si="69"/>
        <v>#N/A</v>
      </c>
      <c r="AU165">
        <f t="shared" si="70"/>
        <v>5163.1499999999996</v>
      </c>
      <c r="AV165">
        <f t="shared" si="71"/>
        <v>5592.56</v>
      </c>
      <c r="AW165" t="e">
        <f t="shared" si="72"/>
        <v>#N/A</v>
      </c>
      <c r="AX165" t="e">
        <f t="shared" si="73"/>
        <v>#N/A</v>
      </c>
      <c r="AY165" t="e">
        <f t="shared" si="74"/>
        <v>#N/A</v>
      </c>
      <c r="AZ165" t="e">
        <f t="shared" si="75"/>
        <v>#N/A</v>
      </c>
    </row>
    <row r="166" spans="1:52" x14ac:dyDescent="0.3">
      <c r="A166" t="s">
        <v>162</v>
      </c>
      <c r="C166">
        <v>1</v>
      </c>
      <c r="D166">
        <v>1</v>
      </c>
      <c r="E166">
        <v>-1</v>
      </c>
      <c r="F166">
        <v>0</v>
      </c>
      <c r="G166">
        <v>-1</v>
      </c>
      <c r="H166">
        <v>0</v>
      </c>
      <c r="I166">
        <v>14185.11</v>
      </c>
      <c r="J166">
        <v>7877.24</v>
      </c>
      <c r="K166">
        <v>36000</v>
      </c>
      <c r="L166">
        <v>36000</v>
      </c>
      <c r="M166">
        <v>36000</v>
      </c>
      <c r="N166">
        <v>36000</v>
      </c>
      <c r="O166">
        <f t="shared" si="52"/>
        <v>14185.11</v>
      </c>
      <c r="P166">
        <f t="shared" si="53"/>
        <v>7877.24</v>
      </c>
      <c r="Q166" t="e">
        <f t="shared" si="54"/>
        <v>#N/A</v>
      </c>
      <c r="R166">
        <f t="shared" si="55"/>
        <v>36000</v>
      </c>
      <c r="S166" t="e">
        <f t="shared" si="56"/>
        <v>#N/A</v>
      </c>
      <c r="T166">
        <f t="shared" si="57"/>
        <v>36000</v>
      </c>
      <c r="V166">
        <v>1</v>
      </c>
      <c r="W166">
        <v>1</v>
      </c>
      <c r="X166">
        <v>0</v>
      </c>
      <c r="Y166">
        <v>0</v>
      </c>
      <c r="Z166">
        <v>-99</v>
      </c>
      <c r="AA166">
        <v>0</v>
      </c>
      <c r="AB166">
        <v>30899.72</v>
      </c>
      <c r="AC166">
        <v>6981.06</v>
      </c>
      <c r="AD166">
        <v>36000</v>
      </c>
      <c r="AE166">
        <v>36000</v>
      </c>
      <c r="AF166">
        <v>-99</v>
      </c>
      <c r="AG166">
        <v>36000</v>
      </c>
      <c r="AH166">
        <f t="shared" si="58"/>
        <v>30899.72</v>
      </c>
      <c r="AI166">
        <f t="shared" si="59"/>
        <v>6981.06</v>
      </c>
      <c r="AJ166">
        <f t="shared" si="60"/>
        <v>36000</v>
      </c>
      <c r="AK166">
        <f t="shared" si="61"/>
        <v>36000</v>
      </c>
      <c r="AL166" t="e">
        <f t="shared" si="62"/>
        <v>#N/A</v>
      </c>
      <c r="AM166">
        <f t="shared" si="63"/>
        <v>36000</v>
      </c>
      <c r="AO166">
        <f t="shared" si="64"/>
        <v>14185.11</v>
      </c>
      <c r="AP166">
        <f t="shared" si="65"/>
        <v>7877.24</v>
      </c>
      <c r="AQ166" t="e">
        <f t="shared" si="66"/>
        <v>#N/A</v>
      </c>
      <c r="AR166" t="e">
        <f t="shared" si="67"/>
        <v>#N/A</v>
      </c>
      <c r="AS166" t="e">
        <f t="shared" si="68"/>
        <v>#N/A</v>
      </c>
      <c r="AT166" t="e">
        <f t="shared" si="69"/>
        <v>#N/A</v>
      </c>
      <c r="AU166">
        <f t="shared" si="70"/>
        <v>30899.72</v>
      </c>
      <c r="AV166">
        <f t="shared" si="71"/>
        <v>6981.06</v>
      </c>
      <c r="AW166" t="e">
        <f t="shared" si="72"/>
        <v>#N/A</v>
      </c>
      <c r="AX166" t="e">
        <f t="shared" si="73"/>
        <v>#N/A</v>
      </c>
      <c r="AY166" t="e">
        <f t="shared" si="74"/>
        <v>#N/A</v>
      </c>
      <c r="AZ166" t="e">
        <f t="shared" si="75"/>
        <v>#N/A</v>
      </c>
    </row>
    <row r="167" spans="1:52" x14ac:dyDescent="0.3">
      <c r="A167" t="s">
        <v>163</v>
      </c>
      <c r="C167">
        <v>0</v>
      </c>
      <c r="D167">
        <v>0</v>
      </c>
      <c r="E167">
        <v>0</v>
      </c>
      <c r="F167">
        <v>0</v>
      </c>
      <c r="G167">
        <v>-1</v>
      </c>
      <c r="H167">
        <v>-1</v>
      </c>
      <c r="I167">
        <v>36000</v>
      </c>
      <c r="J167">
        <v>36000</v>
      </c>
      <c r="K167">
        <v>36000</v>
      </c>
      <c r="L167">
        <v>36000</v>
      </c>
      <c r="M167">
        <v>36000</v>
      </c>
      <c r="N167">
        <v>36000</v>
      </c>
      <c r="O167">
        <f t="shared" si="52"/>
        <v>36000</v>
      </c>
      <c r="P167">
        <f t="shared" si="53"/>
        <v>36000</v>
      </c>
      <c r="Q167">
        <f t="shared" si="54"/>
        <v>36000</v>
      </c>
      <c r="R167">
        <f t="shared" si="55"/>
        <v>36000</v>
      </c>
      <c r="S167" t="e">
        <f t="shared" si="56"/>
        <v>#N/A</v>
      </c>
      <c r="T167" t="e">
        <f t="shared" si="57"/>
        <v>#N/A</v>
      </c>
      <c r="V167">
        <v>0</v>
      </c>
      <c r="W167">
        <v>0</v>
      </c>
      <c r="X167">
        <v>0</v>
      </c>
      <c r="Y167">
        <v>0</v>
      </c>
      <c r="Z167">
        <v>-99</v>
      </c>
      <c r="AA167">
        <v>0</v>
      </c>
      <c r="AB167">
        <v>36000</v>
      </c>
      <c r="AC167">
        <v>36000</v>
      </c>
      <c r="AD167">
        <v>36000</v>
      </c>
      <c r="AE167">
        <v>36000</v>
      </c>
      <c r="AF167">
        <v>-99</v>
      </c>
      <c r="AG167">
        <v>36000</v>
      </c>
      <c r="AH167">
        <f t="shared" si="58"/>
        <v>36000</v>
      </c>
      <c r="AI167">
        <f t="shared" si="59"/>
        <v>36000</v>
      </c>
      <c r="AJ167">
        <f t="shared" si="60"/>
        <v>36000</v>
      </c>
      <c r="AK167">
        <f t="shared" si="61"/>
        <v>36000</v>
      </c>
      <c r="AL167" t="e">
        <f t="shared" si="62"/>
        <v>#N/A</v>
      </c>
      <c r="AM167">
        <f t="shared" si="63"/>
        <v>36000</v>
      </c>
      <c r="AO167" t="e">
        <f t="shared" si="64"/>
        <v>#N/A</v>
      </c>
      <c r="AP167" t="e">
        <f t="shared" si="65"/>
        <v>#N/A</v>
      </c>
      <c r="AQ167" t="e">
        <f t="shared" si="66"/>
        <v>#N/A</v>
      </c>
      <c r="AR167" t="e">
        <f t="shared" si="67"/>
        <v>#N/A</v>
      </c>
      <c r="AS167" t="e">
        <f t="shared" si="68"/>
        <v>#N/A</v>
      </c>
      <c r="AT167" t="e">
        <f t="shared" si="69"/>
        <v>#N/A</v>
      </c>
      <c r="AU167" t="e">
        <f t="shared" si="70"/>
        <v>#N/A</v>
      </c>
      <c r="AV167" t="e">
        <f t="shared" si="71"/>
        <v>#N/A</v>
      </c>
      <c r="AW167" t="e">
        <f t="shared" si="72"/>
        <v>#N/A</v>
      </c>
      <c r="AX167" t="e">
        <f t="shared" si="73"/>
        <v>#N/A</v>
      </c>
      <c r="AY167" t="e">
        <f t="shared" si="74"/>
        <v>#N/A</v>
      </c>
      <c r="AZ167" t="e">
        <f t="shared" si="75"/>
        <v>#N/A</v>
      </c>
    </row>
    <row r="168" spans="1:52" x14ac:dyDescent="0.3">
      <c r="A168" t="s">
        <v>164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31387.35</v>
      </c>
      <c r="J168">
        <v>23074.65</v>
      </c>
      <c r="K168">
        <v>36000</v>
      </c>
      <c r="L168">
        <v>36000</v>
      </c>
      <c r="M168">
        <v>36000</v>
      </c>
      <c r="N168">
        <v>36000</v>
      </c>
      <c r="O168">
        <f t="shared" si="52"/>
        <v>31387.35</v>
      </c>
      <c r="P168">
        <f t="shared" si="53"/>
        <v>23074.65</v>
      </c>
      <c r="Q168">
        <f t="shared" si="54"/>
        <v>36000</v>
      </c>
      <c r="R168">
        <f t="shared" si="55"/>
        <v>36000</v>
      </c>
      <c r="S168">
        <f t="shared" si="56"/>
        <v>36000</v>
      </c>
      <c r="T168">
        <f t="shared" si="57"/>
        <v>36000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36000</v>
      </c>
      <c r="AC168">
        <v>36000</v>
      </c>
      <c r="AD168">
        <v>36000</v>
      </c>
      <c r="AE168">
        <v>36000</v>
      </c>
      <c r="AF168">
        <v>36000</v>
      </c>
      <c r="AG168">
        <v>36000</v>
      </c>
      <c r="AH168">
        <f t="shared" si="58"/>
        <v>36000</v>
      </c>
      <c r="AI168">
        <f t="shared" si="59"/>
        <v>36000</v>
      </c>
      <c r="AJ168">
        <f t="shared" si="60"/>
        <v>36000</v>
      </c>
      <c r="AK168">
        <f t="shared" si="61"/>
        <v>36000</v>
      </c>
      <c r="AL168">
        <f t="shared" si="62"/>
        <v>36000</v>
      </c>
      <c r="AM168">
        <f t="shared" si="63"/>
        <v>36000</v>
      </c>
      <c r="AO168">
        <f t="shared" si="64"/>
        <v>31387.35</v>
      </c>
      <c r="AP168">
        <f t="shared" si="65"/>
        <v>23074.65</v>
      </c>
      <c r="AQ168" t="e">
        <f t="shared" si="66"/>
        <v>#N/A</v>
      </c>
      <c r="AR168" t="e">
        <f t="shared" si="67"/>
        <v>#N/A</v>
      </c>
      <c r="AS168" t="e">
        <f t="shared" si="68"/>
        <v>#N/A</v>
      </c>
      <c r="AT168" t="e">
        <f t="shared" si="69"/>
        <v>#N/A</v>
      </c>
      <c r="AU168">
        <f t="shared" si="70"/>
        <v>36000</v>
      </c>
      <c r="AV168">
        <f t="shared" si="71"/>
        <v>36000</v>
      </c>
      <c r="AW168" t="e">
        <f t="shared" si="72"/>
        <v>#N/A</v>
      </c>
      <c r="AX168" t="e">
        <f t="shared" si="73"/>
        <v>#N/A</v>
      </c>
      <c r="AY168" t="e">
        <f t="shared" si="74"/>
        <v>#N/A</v>
      </c>
      <c r="AZ168" t="e">
        <f t="shared" si="75"/>
        <v>#N/A</v>
      </c>
    </row>
    <row r="169" spans="1:52" x14ac:dyDescent="0.3">
      <c r="A169" t="s">
        <v>165</v>
      </c>
      <c r="C169">
        <v>0</v>
      </c>
      <c r="D169">
        <v>0</v>
      </c>
      <c r="E169">
        <v>-1</v>
      </c>
      <c r="F169">
        <v>0</v>
      </c>
      <c r="G169">
        <v>-1</v>
      </c>
      <c r="H169">
        <v>0</v>
      </c>
      <c r="I169">
        <v>36000</v>
      </c>
      <c r="J169">
        <v>36000</v>
      </c>
      <c r="K169">
        <v>36000</v>
      </c>
      <c r="L169">
        <v>36000</v>
      </c>
      <c r="M169">
        <v>36000</v>
      </c>
      <c r="N169">
        <v>36000</v>
      </c>
      <c r="O169">
        <f t="shared" si="52"/>
        <v>36000</v>
      </c>
      <c r="P169">
        <f t="shared" si="53"/>
        <v>36000</v>
      </c>
      <c r="Q169" t="e">
        <f t="shared" si="54"/>
        <v>#N/A</v>
      </c>
      <c r="R169">
        <f t="shared" si="55"/>
        <v>36000</v>
      </c>
      <c r="S169" t="e">
        <f t="shared" si="56"/>
        <v>#N/A</v>
      </c>
      <c r="T169">
        <f t="shared" si="57"/>
        <v>36000</v>
      </c>
      <c r="V169">
        <v>0</v>
      </c>
      <c r="W169">
        <v>0</v>
      </c>
      <c r="X169">
        <v>-1</v>
      </c>
      <c r="Y169">
        <v>0</v>
      </c>
      <c r="Z169">
        <v>0</v>
      </c>
      <c r="AA169">
        <v>0</v>
      </c>
      <c r="AB169">
        <v>36000</v>
      </c>
      <c r="AC169">
        <v>36000</v>
      </c>
      <c r="AD169">
        <v>36000</v>
      </c>
      <c r="AE169">
        <v>36000</v>
      </c>
      <c r="AF169">
        <v>36000</v>
      </c>
      <c r="AG169">
        <v>36000</v>
      </c>
      <c r="AH169">
        <f t="shared" si="58"/>
        <v>36000</v>
      </c>
      <c r="AI169">
        <f t="shared" si="59"/>
        <v>36000</v>
      </c>
      <c r="AJ169" t="e">
        <f t="shared" si="60"/>
        <v>#N/A</v>
      </c>
      <c r="AK169">
        <f t="shared" si="61"/>
        <v>36000</v>
      </c>
      <c r="AL169">
        <f t="shared" si="62"/>
        <v>36000</v>
      </c>
      <c r="AM169">
        <f t="shared" si="63"/>
        <v>36000</v>
      </c>
      <c r="AO169" t="e">
        <f t="shared" si="64"/>
        <v>#N/A</v>
      </c>
      <c r="AP169" t="e">
        <f t="shared" si="65"/>
        <v>#N/A</v>
      </c>
      <c r="AQ169" t="e">
        <f t="shared" si="66"/>
        <v>#N/A</v>
      </c>
      <c r="AR169" t="e">
        <f t="shared" si="67"/>
        <v>#N/A</v>
      </c>
      <c r="AS169" t="e">
        <f t="shared" si="68"/>
        <v>#N/A</v>
      </c>
      <c r="AT169" t="e">
        <f t="shared" si="69"/>
        <v>#N/A</v>
      </c>
      <c r="AU169" t="e">
        <f t="shared" si="70"/>
        <v>#N/A</v>
      </c>
      <c r="AV169" t="e">
        <f t="shared" si="71"/>
        <v>#N/A</v>
      </c>
      <c r="AW169" t="e">
        <f t="shared" si="72"/>
        <v>#N/A</v>
      </c>
      <c r="AX169" t="e">
        <f t="shared" si="73"/>
        <v>#N/A</v>
      </c>
      <c r="AY169" t="e">
        <f t="shared" si="74"/>
        <v>#N/A</v>
      </c>
      <c r="AZ169" t="e">
        <f t="shared" si="75"/>
        <v>#N/A</v>
      </c>
    </row>
    <row r="170" spans="1:52" x14ac:dyDescent="0.3">
      <c r="A170" t="s">
        <v>166</v>
      </c>
      <c r="C170">
        <v>0</v>
      </c>
      <c r="D170">
        <v>0</v>
      </c>
      <c r="E170">
        <v>-1</v>
      </c>
      <c r="F170">
        <v>0</v>
      </c>
      <c r="G170">
        <v>-1</v>
      </c>
      <c r="H170">
        <v>-1</v>
      </c>
      <c r="I170">
        <v>36000</v>
      </c>
      <c r="J170">
        <v>36000</v>
      </c>
      <c r="K170">
        <v>36000</v>
      </c>
      <c r="L170">
        <v>36000</v>
      </c>
      <c r="M170">
        <v>36000</v>
      </c>
      <c r="N170">
        <v>36000</v>
      </c>
      <c r="O170">
        <f t="shared" si="52"/>
        <v>36000</v>
      </c>
      <c r="P170">
        <f t="shared" si="53"/>
        <v>36000</v>
      </c>
      <c r="Q170" t="e">
        <f t="shared" si="54"/>
        <v>#N/A</v>
      </c>
      <c r="R170">
        <f t="shared" si="55"/>
        <v>36000</v>
      </c>
      <c r="S170" t="e">
        <f t="shared" si="56"/>
        <v>#N/A</v>
      </c>
      <c r="T170" t="e">
        <f t="shared" si="57"/>
        <v>#N/A</v>
      </c>
      <c r="V170">
        <v>0</v>
      </c>
      <c r="W170">
        <v>0</v>
      </c>
      <c r="X170">
        <v>-1</v>
      </c>
      <c r="Y170">
        <v>0</v>
      </c>
      <c r="Z170">
        <v>-99</v>
      </c>
      <c r="AA170">
        <v>0</v>
      </c>
      <c r="AB170">
        <v>36000</v>
      </c>
      <c r="AC170">
        <v>36000</v>
      </c>
      <c r="AD170">
        <v>36000</v>
      </c>
      <c r="AE170">
        <v>36000</v>
      </c>
      <c r="AF170">
        <v>-99</v>
      </c>
      <c r="AG170">
        <v>36000</v>
      </c>
      <c r="AH170">
        <f t="shared" si="58"/>
        <v>36000</v>
      </c>
      <c r="AI170">
        <f t="shared" si="59"/>
        <v>36000</v>
      </c>
      <c r="AJ170" t="e">
        <f t="shared" si="60"/>
        <v>#N/A</v>
      </c>
      <c r="AK170">
        <f t="shared" si="61"/>
        <v>36000</v>
      </c>
      <c r="AL170" t="e">
        <f t="shared" si="62"/>
        <v>#N/A</v>
      </c>
      <c r="AM170">
        <f t="shared" si="63"/>
        <v>36000</v>
      </c>
      <c r="AO170" t="e">
        <f t="shared" si="64"/>
        <v>#N/A</v>
      </c>
      <c r="AP170" t="e">
        <f t="shared" si="65"/>
        <v>#N/A</v>
      </c>
      <c r="AQ170" t="e">
        <f t="shared" si="66"/>
        <v>#N/A</v>
      </c>
      <c r="AR170" t="e">
        <f t="shared" si="67"/>
        <v>#N/A</v>
      </c>
      <c r="AS170" t="e">
        <f t="shared" si="68"/>
        <v>#N/A</v>
      </c>
      <c r="AT170" t="e">
        <f t="shared" si="69"/>
        <v>#N/A</v>
      </c>
      <c r="AU170" t="e">
        <f t="shared" si="70"/>
        <v>#N/A</v>
      </c>
      <c r="AV170" t="e">
        <f t="shared" si="71"/>
        <v>#N/A</v>
      </c>
      <c r="AW170" t="e">
        <f t="shared" si="72"/>
        <v>#N/A</v>
      </c>
      <c r="AX170" t="e">
        <f t="shared" si="73"/>
        <v>#N/A</v>
      </c>
      <c r="AY170" t="e">
        <f t="shared" si="74"/>
        <v>#N/A</v>
      </c>
      <c r="AZ170" t="e">
        <f t="shared" si="75"/>
        <v>#N/A</v>
      </c>
    </row>
    <row r="171" spans="1:52" x14ac:dyDescent="0.3">
      <c r="A171" t="s">
        <v>167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36000</v>
      </c>
      <c r="J171">
        <v>36000</v>
      </c>
      <c r="K171">
        <v>36000</v>
      </c>
      <c r="L171">
        <v>36000</v>
      </c>
      <c r="M171">
        <v>36000</v>
      </c>
      <c r="N171">
        <v>36000</v>
      </c>
      <c r="O171">
        <f t="shared" si="52"/>
        <v>36000</v>
      </c>
      <c r="P171">
        <f t="shared" si="53"/>
        <v>36000</v>
      </c>
      <c r="Q171">
        <f t="shared" si="54"/>
        <v>36000</v>
      </c>
      <c r="R171">
        <f t="shared" si="55"/>
        <v>36000</v>
      </c>
      <c r="S171">
        <f t="shared" si="56"/>
        <v>36000</v>
      </c>
      <c r="T171">
        <f t="shared" si="57"/>
        <v>36000</v>
      </c>
      <c r="V171">
        <v>0</v>
      </c>
      <c r="W171">
        <v>0</v>
      </c>
      <c r="X171">
        <v>0</v>
      </c>
      <c r="Y171">
        <v>-1</v>
      </c>
      <c r="Z171">
        <v>0</v>
      </c>
      <c r="AA171">
        <v>-1</v>
      </c>
      <c r="AB171">
        <v>36000</v>
      </c>
      <c r="AC171">
        <v>36000</v>
      </c>
      <c r="AD171">
        <v>36000</v>
      </c>
      <c r="AE171">
        <v>36000</v>
      </c>
      <c r="AF171">
        <v>36000</v>
      </c>
      <c r="AG171">
        <v>36000</v>
      </c>
      <c r="AH171">
        <f t="shared" si="58"/>
        <v>36000</v>
      </c>
      <c r="AI171">
        <f t="shared" si="59"/>
        <v>36000</v>
      </c>
      <c r="AJ171">
        <f t="shared" si="60"/>
        <v>36000</v>
      </c>
      <c r="AK171" t="e">
        <f t="shared" si="61"/>
        <v>#N/A</v>
      </c>
      <c r="AL171">
        <f t="shared" si="62"/>
        <v>36000</v>
      </c>
      <c r="AM171" t="e">
        <f t="shared" si="63"/>
        <v>#N/A</v>
      </c>
      <c r="AO171" t="e">
        <f t="shared" si="64"/>
        <v>#N/A</v>
      </c>
      <c r="AP171" t="e">
        <f t="shared" si="65"/>
        <v>#N/A</v>
      </c>
      <c r="AQ171" t="e">
        <f t="shared" si="66"/>
        <v>#N/A</v>
      </c>
      <c r="AR171" t="e">
        <f t="shared" si="67"/>
        <v>#N/A</v>
      </c>
      <c r="AS171" t="e">
        <f t="shared" si="68"/>
        <v>#N/A</v>
      </c>
      <c r="AT171" t="e">
        <f t="shared" si="69"/>
        <v>#N/A</v>
      </c>
      <c r="AU171" t="e">
        <f t="shared" si="70"/>
        <v>#N/A</v>
      </c>
      <c r="AV171" t="e">
        <f t="shared" si="71"/>
        <v>#N/A</v>
      </c>
      <c r="AW171" t="e">
        <f t="shared" si="72"/>
        <v>#N/A</v>
      </c>
      <c r="AX171" t="e">
        <f t="shared" si="73"/>
        <v>#N/A</v>
      </c>
      <c r="AY171" t="e">
        <f t="shared" si="74"/>
        <v>#N/A</v>
      </c>
      <c r="AZ171" t="e">
        <f t="shared" si="75"/>
        <v>#N/A</v>
      </c>
    </row>
    <row r="172" spans="1:52" x14ac:dyDescent="0.3">
      <c r="A172" t="s">
        <v>168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36000</v>
      </c>
      <c r="J172">
        <v>36000</v>
      </c>
      <c r="K172">
        <v>36000</v>
      </c>
      <c r="L172">
        <v>36000</v>
      </c>
      <c r="M172">
        <v>36000</v>
      </c>
      <c r="N172">
        <v>36000</v>
      </c>
      <c r="O172">
        <f t="shared" si="52"/>
        <v>36000</v>
      </c>
      <c r="P172">
        <f t="shared" si="53"/>
        <v>36000</v>
      </c>
      <c r="Q172">
        <f t="shared" si="54"/>
        <v>36000</v>
      </c>
      <c r="R172">
        <f t="shared" si="55"/>
        <v>36000</v>
      </c>
      <c r="S172">
        <f t="shared" si="56"/>
        <v>36000</v>
      </c>
      <c r="T172">
        <f t="shared" si="57"/>
        <v>36000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  <c r="AB172">
        <v>36000</v>
      </c>
      <c r="AC172">
        <v>36000</v>
      </c>
      <c r="AD172">
        <v>36000</v>
      </c>
      <c r="AE172">
        <v>36000</v>
      </c>
      <c r="AF172">
        <v>36000</v>
      </c>
      <c r="AG172">
        <v>36000</v>
      </c>
      <c r="AH172">
        <f t="shared" si="58"/>
        <v>36000</v>
      </c>
      <c r="AI172">
        <f t="shared" si="59"/>
        <v>36000</v>
      </c>
      <c r="AJ172">
        <f t="shared" si="60"/>
        <v>36000</v>
      </c>
      <c r="AK172">
        <f t="shared" si="61"/>
        <v>36000</v>
      </c>
      <c r="AL172" t="e">
        <f t="shared" si="62"/>
        <v>#N/A</v>
      </c>
      <c r="AM172" t="e">
        <f t="shared" si="63"/>
        <v>#N/A</v>
      </c>
      <c r="AO172" t="e">
        <f t="shared" si="64"/>
        <v>#N/A</v>
      </c>
      <c r="AP172" t="e">
        <f t="shared" si="65"/>
        <v>#N/A</v>
      </c>
      <c r="AQ172" t="e">
        <f t="shared" si="66"/>
        <v>#N/A</v>
      </c>
      <c r="AR172" t="e">
        <f t="shared" si="67"/>
        <v>#N/A</v>
      </c>
      <c r="AS172" t="e">
        <f t="shared" si="68"/>
        <v>#N/A</v>
      </c>
      <c r="AT172" t="e">
        <f t="shared" si="69"/>
        <v>#N/A</v>
      </c>
      <c r="AU172" t="e">
        <f t="shared" si="70"/>
        <v>#N/A</v>
      </c>
      <c r="AV172" t="e">
        <f t="shared" si="71"/>
        <v>#N/A</v>
      </c>
      <c r="AW172" t="e">
        <f t="shared" si="72"/>
        <v>#N/A</v>
      </c>
      <c r="AX172" t="e">
        <f t="shared" si="73"/>
        <v>#N/A</v>
      </c>
      <c r="AY172" t="e">
        <f t="shared" si="74"/>
        <v>#N/A</v>
      </c>
      <c r="AZ172" t="e">
        <f t="shared" si="75"/>
        <v>#N/A</v>
      </c>
    </row>
    <row r="173" spans="1:52" x14ac:dyDescent="0.3">
      <c r="A173" t="s">
        <v>169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14311.1</v>
      </c>
      <c r="J173">
        <v>29843.9</v>
      </c>
      <c r="K173">
        <v>36000</v>
      </c>
      <c r="L173">
        <v>36000</v>
      </c>
      <c r="M173">
        <v>36000</v>
      </c>
      <c r="N173">
        <v>36000</v>
      </c>
      <c r="O173">
        <f t="shared" si="52"/>
        <v>14311.1</v>
      </c>
      <c r="P173">
        <f t="shared" si="53"/>
        <v>29843.9</v>
      </c>
      <c r="Q173">
        <f t="shared" si="54"/>
        <v>36000</v>
      </c>
      <c r="R173">
        <f t="shared" si="55"/>
        <v>36000</v>
      </c>
      <c r="S173">
        <f t="shared" si="56"/>
        <v>36000</v>
      </c>
      <c r="T173">
        <f t="shared" si="57"/>
        <v>36000</v>
      </c>
      <c r="V173">
        <v>0</v>
      </c>
      <c r="W173">
        <v>0</v>
      </c>
      <c r="X173">
        <v>-1</v>
      </c>
      <c r="Y173">
        <v>-1</v>
      </c>
      <c r="Z173">
        <v>-1</v>
      </c>
      <c r="AA173">
        <v>-1</v>
      </c>
      <c r="AB173">
        <v>36000</v>
      </c>
      <c r="AC173">
        <v>36000</v>
      </c>
      <c r="AD173">
        <v>36000</v>
      </c>
      <c r="AE173">
        <v>36000</v>
      </c>
      <c r="AF173">
        <v>36000</v>
      </c>
      <c r="AG173">
        <v>36000</v>
      </c>
      <c r="AH173">
        <f t="shared" si="58"/>
        <v>36000</v>
      </c>
      <c r="AI173">
        <f t="shared" si="59"/>
        <v>36000</v>
      </c>
      <c r="AJ173" t="e">
        <f t="shared" si="60"/>
        <v>#N/A</v>
      </c>
      <c r="AK173" t="e">
        <f t="shared" si="61"/>
        <v>#N/A</v>
      </c>
      <c r="AL173" t="e">
        <f t="shared" si="62"/>
        <v>#N/A</v>
      </c>
      <c r="AM173" t="e">
        <f t="shared" si="63"/>
        <v>#N/A</v>
      </c>
      <c r="AO173">
        <f t="shared" si="64"/>
        <v>14311.1</v>
      </c>
      <c r="AP173">
        <f t="shared" si="65"/>
        <v>29843.9</v>
      </c>
      <c r="AQ173" t="e">
        <f t="shared" si="66"/>
        <v>#N/A</v>
      </c>
      <c r="AR173" t="e">
        <f t="shared" si="67"/>
        <v>#N/A</v>
      </c>
      <c r="AS173" t="e">
        <f t="shared" si="68"/>
        <v>#N/A</v>
      </c>
      <c r="AT173" t="e">
        <f t="shared" si="69"/>
        <v>#N/A</v>
      </c>
      <c r="AU173">
        <f t="shared" si="70"/>
        <v>36000</v>
      </c>
      <c r="AV173">
        <f t="shared" si="71"/>
        <v>36000</v>
      </c>
      <c r="AW173" t="e">
        <f t="shared" si="72"/>
        <v>#N/A</v>
      </c>
      <c r="AX173" t="e">
        <f t="shared" si="73"/>
        <v>#N/A</v>
      </c>
      <c r="AY173" t="e">
        <f t="shared" si="74"/>
        <v>#N/A</v>
      </c>
      <c r="AZ173" t="e">
        <f t="shared" si="75"/>
        <v>#N/A</v>
      </c>
    </row>
    <row r="175" spans="1:52" x14ac:dyDescent="0.3">
      <c r="AN175" t="s">
        <v>265</v>
      </c>
      <c r="AO175">
        <f>SUMIF(AO12:AO173,"&lt;&gt;#N/A")</f>
        <v>158535.35</v>
      </c>
      <c r="AP175">
        <f t="shared" ref="AP175:AT175" si="76">SUMIF(AP12:AP173,"&lt;&gt;#N/A")</f>
        <v>170995.26</v>
      </c>
      <c r="AQ175">
        <f t="shared" si="76"/>
        <v>106378.62000000001</v>
      </c>
      <c r="AR175">
        <f t="shared" si="76"/>
        <v>107670.95000000001</v>
      </c>
      <c r="AS175">
        <f t="shared" si="76"/>
        <v>45432.17</v>
      </c>
      <c r="AT175">
        <f t="shared" si="76"/>
        <v>73682.37</v>
      </c>
      <c r="AU175">
        <f t="shared" ref="AU175:AZ175" si="77">SUMIF(AU12:AU173,"&lt;&gt;#N/A")</f>
        <v>268315.83</v>
      </c>
      <c r="AV175">
        <f t="shared" si="77"/>
        <v>241964.97999999998</v>
      </c>
      <c r="AW175">
        <f t="shared" si="77"/>
        <v>189083.43999999997</v>
      </c>
      <c r="AX175">
        <f t="shared" si="77"/>
        <v>187133.18000000002</v>
      </c>
      <c r="AY175">
        <f t="shared" si="77"/>
        <v>202411.77000000002</v>
      </c>
      <c r="AZ175">
        <f t="shared" si="77"/>
        <v>185665.89</v>
      </c>
    </row>
    <row r="176" spans="1:52" x14ac:dyDescent="0.3">
      <c r="A176" t="s">
        <v>170</v>
      </c>
      <c r="AN176" t="s">
        <v>266</v>
      </c>
      <c r="AO176">
        <f>COUNTIF(AO12:AO174,"&lt;&gt;#n/a")</f>
        <v>139</v>
      </c>
      <c r="AP176">
        <f t="shared" ref="AP176:AT176" si="78">COUNTIF(AP12:AP174,"&lt;&gt;#n/a")</f>
        <v>141</v>
      </c>
      <c r="AQ176">
        <f t="shared" si="78"/>
        <v>75</v>
      </c>
      <c r="AR176">
        <f t="shared" si="78"/>
        <v>88</v>
      </c>
      <c r="AS176">
        <f t="shared" si="78"/>
        <v>75</v>
      </c>
      <c r="AT176">
        <f t="shared" si="78"/>
        <v>72</v>
      </c>
      <c r="AU176">
        <f t="shared" ref="AU176:AZ176" si="79">COUNTIF(AU12:AU174,"&lt;&gt;#n/a")</f>
        <v>139</v>
      </c>
      <c r="AV176">
        <f t="shared" si="79"/>
        <v>141</v>
      </c>
      <c r="AW176">
        <f t="shared" si="79"/>
        <v>75</v>
      </c>
      <c r="AX176">
        <f t="shared" si="79"/>
        <v>88</v>
      </c>
      <c r="AY176">
        <f t="shared" si="79"/>
        <v>75</v>
      </c>
      <c r="AZ176">
        <f t="shared" si="79"/>
        <v>72</v>
      </c>
    </row>
    <row r="177" spans="1:52" x14ac:dyDescent="0.3">
      <c r="AN177" t="s">
        <v>267</v>
      </c>
      <c r="AO177">
        <f>AO175/AO176</f>
        <v>1140.5420863309353</v>
      </c>
      <c r="AP177">
        <f t="shared" ref="AP177:AT177" si="80">AP175/AP176</f>
        <v>1212.7323404255319</v>
      </c>
      <c r="AQ177">
        <f t="shared" si="80"/>
        <v>1418.3816000000002</v>
      </c>
      <c r="AR177">
        <f t="shared" si="80"/>
        <v>1223.5335227272728</v>
      </c>
      <c r="AS177">
        <f t="shared" si="80"/>
        <v>605.76226666666662</v>
      </c>
      <c r="AT177">
        <f t="shared" si="80"/>
        <v>1023.3662499999999</v>
      </c>
      <c r="AU177">
        <f t="shared" ref="AU177" si="81">AU175/AU176</f>
        <v>1930.329712230216</v>
      </c>
      <c r="AV177">
        <f t="shared" ref="AV177" si="82">AV175/AV176</f>
        <v>1716.0636879432623</v>
      </c>
      <c r="AW177">
        <f t="shared" ref="AW177" si="83">AW175/AW176</f>
        <v>2521.112533333333</v>
      </c>
      <c r="AX177">
        <f t="shared" ref="AX177" si="84">AX175/AX176</f>
        <v>2126.5134090909091</v>
      </c>
      <c r="AY177">
        <f t="shared" ref="AY177" si="85">AY175/AY176</f>
        <v>2698.8236000000002</v>
      </c>
      <c r="AZ177">
        <f t="shared" ref="AZ177" si="86">AZ175/AZ176</f>
        <v>2578.6929166666669</v>
      </c>
    </row>
    <row r="178" spans="1:52" x14ac:dyDescent="0.3">
      <c r="A178" t="s">
        <v>171</v>
      </c>
    </row>
    <row r="180" spans="1:52" x14ac:dyDescent="0.3">
      <c r="A180" t="s">
        <v>172</v>
      </c>
      <c r="B180" t="s">
        <v>173</v>
      </c>
      <c r="AR180" s="2" t="s">
        <v>268</v>
      </c>
      <c r="AS180" s="2"/>
      <c r="AT180" s="2"/>
      <c r="AU180">
        <f>(AU175-AO175)/AO175</f>
        <v>0.69246688514580501</v>
      </c>
      <c r="AV180">
        <f t="shared" ref="AV180:AZ180" si="87">(AV175-AP175)/AP175</f>
        <v>0.41503910693196971</v>
      </c>
      <c r="AW180">
        <f t="shared" si="87"/>
        <v>0.77745716197484005</v>
      </c>
      <c r="AX180">
        <f t="shared" si="87"/>
        <v>0.73800992746882976</v>
      </c>
      <c r="AY180">
        <f t="shared" si="87"/>
        <v>3.4552520823900781</v>
      </c>
      <c r="AZ180">
        <f t="shared" si="87"/>
        <v>1.519814305647335</v>
      </c>
    </row>
    <row r="181" spans="1:52" x14ac:dyDescent="0.3">
      <c r="A181" t="s">
        <v>174</v>
      </c>
      <c r="B181" t="s">
        <v>175</v>
      </c>
      <c r="AR181" s="2"/>
      <c r="AS181" s="2"/>
      <c r="AT181" s="2"/>
    </row>
    <row r="182" spans="1:52" x14ac:dyDescent="0.3">
      <c r="A182" t="s">
        <v>176</v>
      </c>
      <c r="B182" t="s">
        <v>177</v>
      </c>
      <c r="AR182" s="2"/>
      <c r="AS182" s="2"/>
      <c r="AT182" s="2"/>
    </row>
    <row r="183" spans="1:52" x14ac:dyDescent="0.3">
      <c r="A183" t="s">
        <v>178</v>
      </c>
      <c r="B183" t="s">
        <v>179</v>
      </c>
      <c r="AR183" s="2"/>
      <c r="AS183" s="2"/>
      <c r="AT183" s="2"/>
    </row>
    <row r="184" spans="1:52" x14ac:dyDescent="0.3">
      <c r="A184" t="s">
        <v>180</v>
      </c>
      <c r="B184" t="s">
        <v>181</v>
      </c>
    </row>
    <row r="185" spans="1:52" x14ac:dyDescent="0.3">
      <c r="A185" t="s">
        <v>182</v>
      </c>
      <c r="B185" t="s">
        <v>183</v>
      </c>
      <c r="AR185" s="2" t="s">
        <v>269</v>
      </c>
      <c r="AS185" s="2"/>
      <c r="AT185" s="2"/>
      <c r="AU185">
        <f>AU175/AO175</f>
        <v>1.6924668851458051</v>
      </c>
      <c r="AV185">
        <f t="shared" ref="AV185:AZ185" si="88">AV175/AP175</f>
        <v>1.4150391069319697</v>
      </c>
      <c r="AW185">
        <f t="shared" si="88"/>
        <v>1.77745716197484</v>
      </c>
      <c r="AX185">
        <f t="shared" si="88"/>
        <v>1.7380099274688299</v>
      </c>
      <c r="AY185">
        <f t="shared" si="88"/>
        <v>4.4552520823900776</v>
      </c>
      <c r="AZ185">
        <f t="shared" si="88"/>
        <v>2.5198143056473348</v>
      </c>
    </row>
    <row r="186" spans="1:52" x14ac:dyDescent="0.3">
      <c r="A186" t="s">
        <v>184</v>
      </c>
      <c r="B186" t="s">
        <v>185</v>
      </c>
      <c r="AR186" s="2"/>
      <c r="AS186" s="2"/>
      <c r="AT186" s="2"/>
    </row>
    <row r="187" spans="1:52" x14ac:dyDescent="0.3">
      <c r="A187" t="s">
        <v>186</v>
      </c>
      <c r="B187" t="s">
        <v>187</v>
      </c>
      <c r="AR187" s="2"/>
      <c r="AS187" s="2"/>
      <c r="AT187" s="2"/>
    </row>
    <row r="188" spans="1:52" x14ac:dyDescent="0.3">
      <c r="A188" t="s">
        <v>188</v>
      </c>
      <c r="B188" t="s">
        <v>189</v>
      </c>
      <c r="AR188" s="2"/>
      <c r="AS188" s="2"/>
      <c r="AT188" s="2"/>
    </row>
    <row r="189" spans="1:52" x14ac:dyDescent="0.3">
      <c r="A189" t="s">
        <v>190</v>
      </c>
      <c r="B189" t="s">
        <v>191</v>
      </c>
    </row>
    <row r="190" spans="1:52" x14ac:dyDescent="0.3">
      <c r="A190" t="s">
        <v>192</v>
      </c>
      <c r="B190" t="s">
        <v>193</v>
      </c>
    </row>
    <row r="191" spans="1:52" x14ac:dyDescent="0.3">
      <c r="A191" t="s">
        <v>194</v>
      </c>
      <c r="B191" t="s">
        <v>195</v>
      </c>
    </row>
    <row r="192" spans="1:52" x14ac:dyDescent="0.3">
      <c r="A192" t="s">
        <v>196</v>
      </c>
      <c r="B192" t="s">
        <v>197</v>
      </c>
    </row>
    <row r="193" spans="1:2" x14ac:dyDescent="0.3">
      <c r="A193" t="s">
        <v>198</v>
      </c>
      <c r="B193" t="s">
        <v>199</v>
      </c>
    </row>
    <row r="194" spans="1:2" x14ac:dyDescent="0.3">
      <c r="A194" t="s">
        <v>200</v>
      </c>
      <c r="B194" t="s">
        <v>201</v>
      </c>
    </row>
    <row r="195" spans="1:2" x14ac:dyDescent="0.3">
      <c r="A195" t="s">
        <v>202</v>
      </c>
      <c r="B195" t="s">
        <v>203</v>
      </c>
    </row>
    <row r="196" spans="1:2" x14ac:dyDescent="0.3">
      <c r="A196" t="s">
        <v>204</v>
      </c>
      <c r="B196" t="s">
        <v>205</v>
      </c>
    </row>
    <row r="197" spans="1:2" x14ac:dyDescent="0.3">
      <c r="A197" t="s">
        <v>206</v>
      </c>
      <c r="B197" t="s">
        <v>207</v>
      </c>
    </row>
    <row r="198" spans="1:2" x14ac:dyDescent="0.3">
      <c r="A198" t="s">
        <v>208</v>
      </c>
      <c r="B198" t="s">
        <v>209</v>
      </c>
    </row>
    <row r="199" spans="1:2" x14ac:dyDescent="0.3">
      <c r="A199" t="s">
        <v>210</v>
      </c>
      <c r="B199" t="s">
        <v>211</v>
      </c>
    </row>
    <row r="201" spans="1:2" x14ac:dyDescent="0.3">
      <c r="A201" t="s">
        <v>212</v>
      </c>
    </row>
    <row r="203" spans="1:2" x14ac:dyDescent="0.3">
      <c r="A203" t="s">
        <v>213</v>
      </c>
    </row>
    <row r="204" spans="1:2" x14ac:dyDescent="0.3">
      <c r="A204" t="s">
        <v>214</v>
      </c>
      <c r="B204" t="s">
        <v>215</v>
      </c>
    </row>
    <row r="205" spans="1:2" x14ac:dyDescent="0.3">
      <c r="A205" t="s">
        <v>216</v>
      </c>
      <c r="B205" t="s">
        <v>217</v>
      </c>
    </row>
    <row r="206" spans="1:2" x14ac:dyDescent="0.3">
      <c r="A206" t="s">
        <v>218</v>
      </c>
      <c r="B206" t="s">
        <v>219</v>
      </c>
    </row>
    <row r="207" spans="1:2" x14ac:dyDescent="0.3">
      <c r="A207" t="s">
        <v>220</v>
      </c>
      <c r="B207" t="s">
        <v>221</v>
      </c>
    </row>
    <row r="208" spans="1:2" x14ac:dyDescent="0.3">
      <c r="A208" t="s">
        <v>222</v>
      </c>
      <c r="B208" t="s">
        <v>223</v>
      </c>
    </row>
    <row r="209" spans="1:2" x14ac:dyDescent="0.3">
      <c r="A209" t="s">
        <v>224</v>
      </c>
      <c r="B209" t="s">
        <v>225</v>
      </c>
    </row>
    <row r="210" spans="1:2" x14ac:dyDescent="0.3">
      <c r="A210" t="s">
        <v>226</v>
      </c>
      <c r="B210" t="s">
        <v>227</v>
      </c>
    </row>
    <row r="211" spans="1:2" x14ac:dyDescent="0.3">
      <c r="A211" t="s">
        <v>228</v>
      </c>
      <c r="B211" t="s">
        <v>229</v>
      </c>
    </row>
    <row r="212" spans="1:2" x14ac:dyDescent="0.3">
      <c r="A212" t="s">
        <v>230</v>
      </c>
      <c r="B212" t="s">
        <v>231</v>
      </c>
    </row>
    <row r="213" spans="1:2" x14ac:dyDescent="0.3">
      <c r="A213" t="s">
        <v>232</v>
      </c>
      <c r="B213" t="s">
        <v>233</v>
      </c>
    </row>
    <row r="214" spans="1:2" x14ac:dyDescent="0.3">
      <c r="A214" t="s">
        <v>277</v>
      </c>
      <c r="B214" t="s">
        <v>278</v>
      </c>
    </row>
    <row r="216" spans="1:2" x14ac:dyDescent="0.3">
      <c r="A216" t="s">
        <v>234</v>
      </c>
    </row>
    <row r="217" spans="1:2" x14ac:dyDescent="0.3">
      <c r="A217" t="s">
        <v>235</v>
      </c>
      <c r="B217" t="s">
        <v>236</v>
      </c>
    </row>
    <row r="218" spans="1:2" x14ac:dyDescent="0.3">
      <c r="A218" t="s">
        <v>237</v>
      </c>
      <c r="B218" t="s">
        <v>238</v>
      </c>
    </row>
    <row r="219" spans="1:2" x14ac:dyDescent="0.3">
      <c r="A219" t="s">
        <v>239</v>
      </c>
      <c r="B219" t="s">
        <v>240</v>
      </c>
    </row>
    <row r="220" spans="1:2" x14ac:dyDescent="0.3">
      <c r="A220" t="s">
        <v>241</v>
      </c>
      <c r="B220" t="s">
        <v>242</v>
      </c>
    </row>
    <row r="221" spans="1:2" x14ac:dyDescent="0.3">
      <c r="A221" t="s">
        <v>243</v>
      </c>
      <c r="B221" t="s">
        <v>244</v>
      </c>
    </row>
    <row r="222" spans="1:2" x14ac:dyDescent="0.3">
      <c r="A222" t="s">
        <v>245</v>
      </c>
      <c r="B222" t="s">
        <v>246</v>
      </c>
    </row>
    <row r="223" spans="1:2" x14ac:dyDescent="0.3">
      <c r="A223" t="s">
        <v>247</v>
      </c>
      <c r="B223" t="s">
        <v>248</v>
      </c>
    </row>
    <row r="224" spans="1:2" x14ac:dyDescent="0.3">
      <c r="A224" t="s">
        <v>249</v>
      </c>
      <c r="B224" t="s">
        <v>250</v>
      </c>
    </row>
    <row r="225" spans="1:2" x14ac:dyDescent="0.3">
      <c r="A225" t="s">
        <v>251</v>
      </c>
      <c r="B225" t="s">
        <v>252</v>
      </c>
    </row>
    <row r="226" spans="1:2" x14ac:dyDescent="0.3">
      <c r="A226" t="s">
        <v>253</v>
      </c>
      <c r="B226" t="s">
        <v>254</v>
      </c>
    </row>
    <row r="227" spans="1:2" x14ac:dyDescent="0.3">
      <c r="A227" t="s">
        <v>255</v>
      </c>
      <c r="B227" t="s">
        <v>256</v>
      </c>
    </row>
    <row r="228" spans="1:2" x14ac:dyDescent="0.3">
      <c r="A228" t="s">
        <v>257</v>
      </c>
      <c r="B228" t="s">
        <v>258</v>
      </c>
    </row>
  </sheetData>
  <mergeCells count="6">
    <mergeCell ref="AU10:AZ10"/>
    <mergeCell ref="AR180:AT183"/>
    <mergeCell ref="AR185:AT188"/>
    <mergeCell ref="C9:T9"/>
    <mergeCell ref="V9:AM9"/>
    <mergeCell ref="AO10:AT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Lars</dc:creator>
  <cp:lastModifiedBy>Er Lars</cp:lastModifiedBy>
  <dcterms:created xsi:type="dcterms:W3CDTF">2026-06-29T18:33:31Z</dcterms:created>
  <dcterms:modified xsi:type="dcterms:W3CDTF">2026-06-30T22:13:20Z</dcterms:modified>
</cp:coreProperties>
</file>